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MAESTRO_PRODUCTOS" sheetId="2" state="visible" r:id="rId4"/>
    <sheet name="CATALOGOS" sheetId="3" state="visible" r:id="rId5"/>
    <sheet name="TABLA_IVA" sheetId="4" state="visible" r:id="rId6"/>
    <sheet name="PARAMETROS" sheetId="5" state="visible" r:id="rId7"/>
    <sheet name="PROVEEDORES" sheetId="6" state="visible" r:id="rId8"/>
    <sheet name="CODIFICACION" sheetId="7" state="visible" r:id="rId9"/>
  </sheets>
  <definedNames>
    <definedName function="false" hidden="true" localSheetId="1" name="_xlnm._FilterDatabase" vbProcedure="false">MAESTRO_PRODUCTOS!$A$2:$BA$502</definedName>
    <definedName function="false" hidden="false" name="LST_ABC" vbProcedure="false">CATALOGOS!$I$3:$I$5</definedName>
    <definedName function="false" hidden="false" name="LST_ALERGENO" vbProcedure="false">CATALOGOS!$M$3:$M$16</definedName>
    <definedName function="false" hidden="false" name="LST_CONSERVACION" vbProcedure="false">CATALOGOS!$K$3:$K$6</definedName>
    <definedName function="false" hidden="false" name="LST_ESTADO" vbProcedure="false">CATALOGOS!$L$3:$L$5</definedName>
    <definedName function="false" hidden="false" name="LST_FAMILIA" vbProcedure="false">CATALOGOS!$C$3:$C$21</definedName>
    <definedName function="false" hidden="false" name="LST_IVA" vbProcedure="false">TABLA_IVA!$A$3:$A$6</definedName>
    <definedName function="false" hidden="false" name="LST_METODO_PRECIO" vbProcedure="false">CATALOGOS!$H$3:$H$4</definedName>
    <definedName function="false" hidden="false" name="LST_PROVEEDOR" vbProcedure="false">PROVEEDORES!$A$3:$A$59</definedName>
    <definedName function="false" hidden="false" name="LST_SECCION" vbProcedure="false">CATALOGOS!$B$3:$B$8</definedName>
    <definedName function="false" hidden="false" name="LST_SN" vbProcedure="false">CATALOGOS!$F$3:$F$4</definedName>
    <definedName function="false" hidden="false" name="LST_SUBFAMILIA" vbProcedure="false">CATALOGOS!$D$3:$D$49</definedName>
    <definedName function="false" hidden="false" name="LST_TIPO" vbProcedure="false">CATALOGOS!$A$3:$A$7</definedName>
    <definedName function="false" hidden="false" name="LST_UBICACION" vbProcedure="false">CATALOGOS!$J$3:$J$9</definedName>
    <definedName function="false" hidden="false" name="LST_UM" vbProcedure="false">CATALOGOS!$E$3:$E$15</definedName>
    <definedName function="false" hidden="false" name="LST_VALORACION" vbProcedure="false">CATALOGOS!$G$3:$G$4</definedName>
    <definedName function="false" hidden="false" name="UMB_AJUSTADO" vbProcedure="false">PARAMETROS!$C$4</definedName>
    <definedName function="false" hidden="false" name="UMB_ALTO" vbProcedure="false">PARAMETROS!$C$7</definedName>
    <definedName function="false" hidden="false" name="UMB_BAJO" vbProcedure="false">PARAMETROS!$C$5</definedName>
    <definedName function="false" hidden="false" name="UMB_CRITICO" vbProcedure="false">PARAMETROS!$C$6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Campo obligatorio y único. Sustituye los códigos de ejemplo por tu propia codificación.</t>
        </r>
      </text>
    </comment>
  </commentList>
</comments>
</file>

<file path=xl/sharedStrings.xml><?xml version="1.0" encoding="utf-8"?>
<sst xmlns="http://schemas.openxmlformats.org/spreadsheetml/2006/main" count="1634" uniqueCount="694">
  <si>
    <t xml:space="preserve">MAESTRO DE PRODUCTOS - PANADERÍA Y PASTELERÍA CON OBRADOR</t>
  </si>
  <si>
    <t xml:space="preserve">COMO USAR ESTE LIBRO</t>
  </si>
  <si>
    <t xml:space="preserve">1</t>
  </si>
  <si>
    <t xml:space="preserve">Rellena primero la hoja PROVEEDORES y revisa la hoja CATALOGOS (puedes añadir familias, subfamilias, ubicaciones, etc.).</t>
  </si>
  <si>
    <t xml:space="preserve">2</t>
  </si>
  <si>
    <t xml:space="preserve">Carga los productos en la hoja MAESTRO_PRODUCTOS. Las filas en beige (3 a 35) son EJEMPLOS: bórralas antes de cargar tus datos reales.</t>
  </si>
  <si>
    <t xml:space="preserve">3</t>
  </si>
  <si>
    <t xml:space="preserve">Las columnas con fondo VERDE son fórmulas calculadas: no escribas en ellas. El resto son campos de captura.</t>
  </si>
  <si>
    <t xml:space="preserve">4</t>
  </si>
  <si>
    <t xml:space="preserve">Las celdas con desplegable solo aceptan valores de los catálogos. Si necesitas un valor nuevo, añádelo primero en CATALOGOS.</t>
  </si>
  <si>
    <t xml:space="preserve">5</t>
  </si>
  <si>
    <t xml:space="preserve">Un CODIGO duplicado se marca automáticamente en rojo. El código es la llave del sistema: nunca lo reutilices ni lo cambies una vez emitido.</t>
  </si>
  <si>
    <t xml:space="preserve">7</t>
  </si>
  <si>
    <t xml:space="preserve">Antes de dar de alta cualquier artículo, lee la hoja CODIFICACION: define cómo se forma el código y el procedimiento de alta, modificación y baja.</t>
  </si>
  <si>
    <t xml:space="preserve">8</t>
  </si>
  <si>
    <t xml:space="preserve">El bloque POLITICA DE PRECIO calcula solo si estás vendiendo bien o mal. Los umbrales del semáforo se configuran en la hoja PARAMETROS.</t>
  </si>
  <si>
    <t xml:space="preserve">CÓMO FUNCIONA LA POLÍTICA DE PRECIO</t>
  </si>
  <si>
    <t xml:space="preserve">Los dos métodos</t>
  </si>
  <si>
    <t xml:space="preserve">METODO_PRECIO = MARGEN: tú fijas el margen que quieres y el sistema calcula el precio. METODO_PRECIO = FIJO: tú fijas el precio (porque lo manda el mercado, la competencia o el precio psicológico) y el sistema se limita a auditarlo.</t>
  </si>
  <si>
    <t xml:space="preserve">La clave</t>
  </si>
  <si>
    <t xml:space="preserve">Rellena SIEMPRE el MARGEN_OBJETIVO_%, incluso cuando el precio sea FIJO. Ese es el caso más valioso: el sistema compara lo que cobras con lo que deberías cobrar y te dice si estás vendiendo bien o mal, en puntos porcentuales y en euros por unidad.</t>
  </si>
  <si>
    <t xml:space="preserve">Qué mirar</t>
  </si>
  <si>
    <t xml:space="preserve">DIAGNOSTICO_PRECIO da el veredicto en una palabra. DESVIACION_PP dice cuánto te desvías. DIFERENCIA_EUR_UD traduce esa desviación a euros que dejas de ingresar en cada venta: multiplícalo por las unidades que vendes al mes y tendrás el impacto real.</t>
  </si>
  <si>
    <t xml:space="preserve">6</t>
  </si>
  <si>
    <t xml:space="preserve">Hay 500 filas preparadas con fórmulas y validaciones. Si necesitas más, copia la última fila hacia abajo.</t>
  </si>
  <si>
    <t xml:space="preserve">CRITERIO CLAVE PARA UN NEGOCIO CON OBRADOR</t>
  </si>
  <si>
    <t xml:space="preserve">TIPO_ARTICULO</t>
  </si>
  <si>
    <t xml:space="preserve">Es el campo que estructura todo el sistema. Un mismo negocio maneja cinco naturalezas distintas de artículo y cada una se controla diferente:</t>
  </si>
  <si>
    <t xml:space="preserve">   MP</t>
  </si>
  <si>
    <t xml:space="preserve">Materia prima: se compra, se consume en producción, nunca se vende tal cual. Se valora por coste de compra.</t>
  </si>
  <si>
    <t xml:space="preserve">   IN</t>
  </si>
  <si>
    <t xml:space="preserve">Insumo o envase: se compra y se consume, pero no forma parte de la fórmula alimentaria (bolsas, cajas, etiquetas). Se imputa al coste de producto o al gasto.</t>
  </si>
  <si>
    <t xml:space="preserve">   SE</t>
  </si>
  <si>
    <t xml:space="preserve">Semielaborado: se produce internamente y se consume en otra producción (masa madre, crema pastelera, plancha de bizcocho). Es a la vez salida de una orden y entrada de otra. Su coste sale de su propia receta.</t>
  </si>
  <si>
    <t xml:space="preserve">   PT</t>
  </si>
  <si>
    <t xml:space="preserve">Producto terminado: se produce internamente y se vende. Su coste NO se captura, se calcula desde la receta.</t>
  </si>
  <si>
    <t xml:space="preserve">   RV</t>
  </si>
  <si>
    <t xml:space="preserve">Reventa: se compra terminado y se vende sin transformar (bebidas, café en grano). Coste = precio de compra.</t>
  </si>
  <si>
    <t xml:space="preserve">ADVERTENCIA SOBRE COSTE_UD_VENTA</t>
  </si>
  <si>
    <t xml:space="preserve">Para los artículos PT y SE este campo es provisional: debe alimentarse desde el escandallo (receta) cuando construyamos el módulo de producción. Mientras tanto, cárgalo con tu mejor estimación para poder medir margen desde el primer día, pero no lo tomes como coste real. Todo el diagnóstico de precio depende de él: si el coste es una estimación, el semáforo indica tendencia, no verdad contable.</t>
  </si>
  <si>
    <t xml:space="preserve">ADVERTENCIA SOBRE PRECIOS</t>
  </si>
  <si>
    <t xml:space="preserve">Todos los precios, costes y plazos de las filas de ejemplo son ILUSTRATIVOS, inventados para mostrar el formato. Sustituyelos por tus datos reales de albaran y de tarifa.</t>
  </si>
  <si>
    <t xml:space="preserve">ADVERTENCIA FISCAL</t>
  </si>
  <si>
    <t xml:space="preserve">Los códigos de IVA de la hoja TABLA_IVA reflejan la situación general del sector en España, pero la clasificación fiscal de cada referencia debe validarla tu asesor. Ver notas y referencias en esa hoja.</t>
  </si>
  <si>
    <t xml:space="preserve">DICCIONARIO DE DATOS - MAESTRO_PRODUCTOS</t>
  </si>
  <si>
    <t xml:space="preserve">BLOQUE</t>
  </si>
  <si>
    <t xml:space="preserve">CAMPO</t>
  </si>
  <si>
    <t xml:space="preserve">OBLIG.</t>
  </si>
  <si>
    <t xml:space="preserve">ORIGEN</t>
  </si>
  <si>
    <t xml:space="preserve">DESCRIPCION Y CRITERIO DE CARGA</t>
  </si>
  <si>
    <t xml:space="preserve">IDENTIFICACION</t>
  </si>
  <si>
    <t xml:space="preserve">CODIGO</t>
  </si>
  <si>
    <t xml:space="preserve">SI</t>
  </si>
  <si>
    <t xml:space="preserve">Captura</t>
  </si>
  <si>
    <t xml:space="preserve">Llave única e irrepetible del artículo. Respeta tu codificación actual. Regla de oro: no reutilizar códigos de artículos dados de baja.</t>
  </si>
  <si>
    <t xml:space="preserve">COD_BARRAS_EAN</t>
  </si>
  <si>
    <t xml:space="preserve">No</t>
  </si>
  <si>
    <t xml:space="preserve">EAN-13 para lectura en TPV. Solo en artículos etiquetados o de reventa.</t>
  </si>
  <si>
    <t xml:space="preserve">DESCRIPCION_TPV</t>
  </si>
  <si>
    <t xml:space="preserve">Nombre corto (max. 30 caracteres) que se imprime en el ticket y aparece en la pantalla de venta.</t>
  </si>
  <si>
    <t xml:space="preserve">DESCRIPCION_COMPLETA</t>
  </si>
  <si>
    <t xml:space="preserve">Denominación completa y sin ambigüedad, incluyendo formato o gramaje. Es lo que evita duplicados en el maestro.</t>
  </si>
  <si>
    <t xml:space="preserve">CLASIFICACION</t>
  </si>
  <si>
    <t xml:space="preserve">Lista</t>
  </si>
  <si>
    <t xml:space="preserve">MP / IN / SE / PT / RV. Ver criterio arriba. Define como se comporta el artículo en todo el sistema.</t>
  </si>
  <si>
    <t xml:space="preserve">FAMILIA</t>
  </si>
  <si>
    <t xml:space="preserve">Agrupación de primer nivel para análisis de venta, compra y rotación.</t>
  </si>
  <si>
    <t xml:space="preserve">SUBFAMILIA</t>
  </si>
  <si>
    <t xml:space="preserve">Segundo nivel de detalle. Útil para informes finos y para el conteo cíclico.</t>
  </si>
  <si>
    <t xml:space="preserve">SECCION</t>
  </si>
  <si>
    <t xml:space="preserve">Área operativa responsable del artículo (panadería, obrador, salados, cafetería).</t>
  </si>
  <si>
    <t xml:space="preserve">ES_COMPRABLE</t>
  </si>
  <si>
    <t xml:space="preserve">SI = puede aparecer en un pedido a proveedor. Evita que alguien intente comprar un producto de obrador.</t>
  </si>
  <si>
    <t xml:space="preserve">ES_ELABORADO</t>
  </si>
  <si>
    <t xml:space="preserve">SI = se produce internamente. Marca los artículos que generarán órdenes de producción.</t>
  </si>
  <si>
    <t xml:space="preserve">ES_VENDIBLE</t>
  </si>
  <si>
    <t xml:space="preserve">SI = puede aparecer en una venta. Evita que se venda por error una materia prima.</t>
  </si>
  <si>
    <t xml:space="preserve">LLEVA_RECETA</t>
  </si>
  <si>
    <t xml:space="preserve">SI = tendrá escandallo. Es el enlace con el futuro módulo de recetas y costeo.</t>
  </si>
  <si>
    <t xml:space="preserve">UNIDADES DE MEDIDA</t>
  </si>
  <si>
    <t xml:space="preserve">UM_BASE_STOCK</t>
  </si>
  <si>
    <t xml:space="preserve">Unidad ÚNICA en la que se controla el stock y se valora el inventario. Recomendación: kg para sólidos, l para líquidos, ud para piezas. No la cambies nunca una vez cargada.</t>
  </si>
  <si>
    <t xml:space="preserve">UM_COMPRA</t>
  </si>
  <si>
    <t xml:space="preserve">Unidad en la que el proveedor factura (saco, caja, bote).</t>
  </si>
  <si>
    <t xml:space="preserve">FACTOR_COMPRA_A_BASE</t>
  </si>
  <si>
    <t xml:space="preserve">Cuántas UM_BASE contiene 1 UM_COMPRA. Ej.: saco de harina de 25 kg -&gt; 25. Campo crítico: un factor mal cargado descuadra todo el inventario y el coste.</t>
  </si>
  <si>
    <t xml:space="preserve">UM_VENTA</t>
  </si>
  <si>
    <t xml:space="preserve">Unidad en la que se vende (ud, porción, kg).</t>
  </si>
  <si>
    <t xml:space="preserve">FACTOR_VENTA_A_BASE</t>
  </si>
  <si>
    <t xml:space="preserve">Cuántas UM_BASE salen del stock por cada unidad vendida.</t>
  </si>
  <si>
    <t xml:space="preserve">PESO_NETO_UD_G</t>
  </si>
  <si>
    <t xml:space="preserve">Peso neto de la pieza en gramos. Base para el control de rendimiento del obrador y para el etiquetado.</t>
  </si>
  <si>
    <t xml:space="preserve">FORMATO_PRESENTACION</t>
  </si>
  <si>
    <t xml:space="preserve">Texto libre descriptivo del envase o formato (Saco 25 kg, Caja 24 x 33 cl).</t>
  </si>
  <si>
    <t xml:space="preserve">COMPRAS</t>
  </si>
  <si>
    <t xml:space="preserve">COD_PROVEEDOR</t>
  </si>
  <si>
    <t xml:space="preserve">Proveedor habitual. Se toma de la hoja PROVEEDORES.</t>
  </si>
  <si>
    <t xml:space="preserve">REF_PROVEEDOR</t>
  </si>
  <si>
    <t xml:space="preserve">Referencia del artículo en el catálogo del proveedor. Acelera el cotejo de albaranes.</t>
  </si>
  <si>
    <t xml:space="preserve">PRECIO_COMPRA_SIN_IVA</t>
  </si>
  <si>
    <t xml:space="preserve">Último precio de compra por UM_COMPRA, base imponible sin IVA. Actualizalo con cada cambio de tarifa.</t>
  </si>
  <si>
    <t xml:space="preserve">COSTE_UM_BASE</t>
  </si>
  <si>
    <t xml:space="preserve">-</t>
  </si>
  <si>
    <t xml:space="preserve">FÓRMULA</t>
  </si>
  <si>
    <t xml:space="preserve">Calculado: PRECIO_COMPRA_SIN_IVA / FACTOR_COMPRA_A_BASE. Es el coste que consumiran las recetas.</t>
  </si>
  <si>
    <t xml:space="preserve">PLAZO_ENTREGA_DIAS</t>
  </si>
  <si>
    <t xml:space="preserve">Días desde el pedido hasta la recepcion. Base para calcular el punto de pedido.</t>
  </si>
  <si>
    <t xml:space="preserve">PEDIDO_MINIMO</t>
  </si>
  <si>
    <t xml:space="preserve">Cantidad minima que acepta el proveedor, en UM_COMPRA.</t>
  </si>
  <si>
    <t xml:space="preserve">MERMA_ESTANDAR_%</t>
  </si>
  <si>
    <t xml:space="preserve">Merma técnica esperada (evaporación, recortes, roturas). Sirve para comparar merma teorica contra merma real y detectar desviaciones o fugas.</t>
  </si>
  <si>
    <t xml:space="preserve">FISCAL Y PRECIOS</t>
  </si>
  <si>
    <t xml:space="preserve">COD_IVA</t>
  </si>
  <si>
    <t xml:space="preserve">Código fiscal del artículo. Ver hoja TABLA_IVA.</t>
  </si>
  <si>
    <t xml:space="preserve">IVA_%</t>
  </si>
  <si>
    <t xml:space="preserve">Porcentaje recuperado de TABLA_IVA mediante INDEX/MATCH.</t>
  </si>
  <si>
    <t xml:space="preserve">COSTE_UD_VENTA</t>
  </si>
  <si>
    <t xml:space="preserve">Coste de una unidad de venta. En RV = coste de compra. En PT y SE es provisional hasta que exista el escandallo. Todo el bloque de política de precio depende de este dato: si es malo, el diagnóstico también lo será.</t>
  </si>
  <si>
    <t xml:space="preserve">POLITICA DE PRECIO</t>
  </si>
  <si>
    <t xml:space="preserve">METODO_PRECIO</t>
  </si>
  <si>
    <t xml:space="preserve">MARGEN = el precio lo calcula el sistema desde el margen objetivo. FIJO = el precio lo fija el negocio (mercado, competencia, precio psicológico) y el sistema solo lo audita. Aunque elijas FIJO, rellena igualmente el margen objetivo: es lo que permite saber si estás vendiendo bien.</t>
  </si>
  <si>
    <t xml:space="preserve">MARGEN_OBJETIVO_%</t>
  </si>
  <si>
    <t xml:space="preserve">Margen bruto que el negocio quiere obtener con este artículo, sobre precio de venta sin IVA. Se introduce como porcentaje (70%). Sin este dato el sistema no puede emitir diagnóstico.</t>
  </si>
  <si>
    <t xml:space="preserve">PVP_OBJETIVO_CON_IVA</t>
  </si>
  <si>
    <t xml:space="preserve">Calculado: COSTE_UD_VENTA / (1 - MARGEN_OBJETIVO_%) x (1 + IVA_%). Es el precio que habría que cobrar para cumplir la política de margen.</t>
  </si>
  <si>
    <t xml:space="preserve">PVP_FIJO_CON_IVA</t>
  </si>
  <si>
    <t xml:space="preserve">Precio de venta al público decidido por el negocio, IVA incluido. Se rellena cuando METODO_PRECIO = FIJO, o cuando quieras redondear el precio calculado a una cifra comercial.</t>
  </si>
  <si>
    <t xml:space="preserve">PVP_APLICADO_CON_IVA</t>
  </si>
  <si>
    <t xml:space="preserve">Precio que realmente se cobra: el PVP_FIJO si el método es FIJO, y si no el PVP_OBJETIVO. Es el precio que debe ir al TPV.</t>
  </si>
  <si>
    <t xml:space="preserve">PVP_APLICADO_SIN_IVA</t>
  </si>
  <si>
    <t xml:space="preserve">Calculado: PVP_APLICADO_CON_IVA / (1 + IVA_%). Base imponible.</t>
  </si>
  <si>
    <t xml:space="preserve">MARGEN_REAL_%</t>
  </si>
  <si>
    <t xml:space="preserve">Calculado: (PVP_APLICADO_SIN_IVA - COSTE_UD_VENTA) / PVP_APLICADO_SIN_IVA. Es el margen que de verdad estás obteniendo.</t>
  </si>
  <si>
    <t xml:space="preserve">DESVIACION_PP</t>
  </si>
  <si>
    <t xml:space="preserve">Calculado: MARGEN_REAL_% - MARGEN_OBJETIVO_%, en puntos porcentuales. Negativo = vendes por debajo de tu política.</t>
  </si>
  <si>
    <t xml:space="preserve">DIFERENCIA_EUR_UD</t>
  </si>
  <si>
    <t xml:space="preserve">Calculado: PVP_APLICADO_CON_IVA - PVP_OBJETIVO_CON_IVA. Traduce la desviación a euros por unidad: es lo que dejas de ingresar (o de más) en cada venta.</t>
  </si>
  <si>
    <t xml:space="preserve">DIAGNOSTICO_PRECIO</t>
  </si>
  <si>
    <t xml:space="preserve">Semáforo automático: PÉRDIDA, MUY POR DEBAJO, POR DEBAJO, AJUSTADO, EN OBJETIVO o POR ENCIMA. Los umbrales se configuran en la hoja PARAMETROS.</t>
  </si>
  <si>
    <t xml:space="preserve">CONTROL DE INVENTARIO</t>
  </si>
  <si>
    <t xml:space="preserve">CONTROLA_STOCK</t>
  </si>
  <si>
    <t xml:space="preserve">NO para artículos de consumo inmediato o de valor irrelevante que no compensa inventariar.</t>
  </si>
  <si>
    <t xml:space="preserve">METODO_VALORACION</t>
  </si>
  <si>
    <t xml:space="preserve">PMP (precio medio ponderado) o FIFO. Recomendación: FIFO en perecederos y PMP en secos. Se debe aplicar de forma consistente.</t>
  </si>
  <si>
    <t xml:space="preserve">STOCK_MINIMO</t>
  </si>
  <si>
    <t xml:space="preserve">Existencia de seguridad en UM_BASE. Por debajo, riesgo de rotura de servicio.</t>
  </si>
  <si>
    <t xml:space="preserve">STOCK_MAXIMO</t>
  </si>
  <si>
    <t xml:space="preserve">Techo de existencia. Evita inmovilizar caja y caducidades.</t>
  </si>
  <si>
    <t xml:space="preserve">PUNTO_PEDIDO</t>
  </si>
  <si>
    <t xml:space="preserve">Nivel que dispara el pedido. Guía: consumo medio diario x plazo de entrega + stock mínimo.</t>
  </si>
  <si>
    <t xml:space="preserve">UBICACION</t>
  </si>
  <si>
    <t xml:space="preserve">Donde se almacena físicamente. Imprescindible para inventarios rápidos y para el control de temperatura.</t>
  </si>
  <si>
    <t xml:space="preserve">CLASE_ABC</t>
  </si>
  <si>
    <t xml:space="preserve">A = pocos artículos, mucho valor (conteo semanal). B = conteo quincenal. C = conteo mensual. Concentra el esfuerzo de control donde está el dinero.</t>
  </si>
  <si>
    <t xml:space="preserve">TRAZABILIDAD Y SEG. ALIMENTARIA</t>
  </si>
  <si>
    <t xml:space="preserve">CONTROL_LOTE</t>
  </si>
  <si>
    <t xml:space="preserve">SI = se registra lote y fecha en entradas y producciones. Obligatorio en la práctica para la trazabilidad alimentaria.</t>
  </si>
  <si>
    <t xml:space="preserve">VIDA_UTIL_DIAS</t>
  </si>
  <si>
    <t xml:space="preserve">Días de vida útil desde la producción o recepción. Base para calcular la fecha de consumo preferente.</t>
  </si>
  <si>
    <t xml:space="preserve">CONSERVACION</t>
  </si>
  <si>
    <t xml:space="preserve">Condiciones de conservación. Enlaza con el plan APPCC y con el control de cámaras.</t>
  </si>
  <si>
    <t xml:space="preserve">ALERGENOS</t>
  </si>
  <si>
    <t xml:space="preserve">Alérgenos presentes, separados por punto y coma, tomados de la lista de CATALOGOS. Obligación legal de información al consumidor (Regl. UE 1169/2011). Verifica el alcance con tu técnico de calidad.</t>
  </si>
  <si>
    <t xml:space="preserve">ESTADO</t>
  </si>
  <si>
    <t xml:space="preserve">Activo / Inactivo / Descatalogado. Nunca borres una fila del maestro: cambia el estado, para no romper el histórico.</t>
  </si>
  <si>
    <t xml:space="preserve">FECHA_ALTA</t>
  </si>
  <si>
    <t xml:space="preserve">Fecha</t>
  </si>
  <si>
    <t xml:space="preserve">Fecha de creación de la ficha.</t>
  </si>
  <si>
    <t xml:space="preserve">OBSERVACIONES</t>
  </si>
  <si>
    <t xml:space="preserve">Notas internas: condiciones del proveedor, estacionalidad, restricciones de producción.</t>
  </si>
  <si>
    <t xml:space="preserve">MP-HAR-001</t>
  </si>
  <si>
    <t xml:space="preserve">Harina trigo W180</t>
  </si>
  <si>
    <t xml:space="preserve">Harina de trigo panificable W-180, saco 25 kg</t>
  </si>
  <si>
    <t xml:space="preserve">MP</t>
  </si>
  <si>
    <t xml:space="preserve">Harinas y sémolas</t>
  </si>
  <si>
    <t xml:space="preserve">Trigo</t>
  </si>
  <si>
    <t xml:space="preserve">Panadería</t>
  </si>
  <si>
    <t xml:space="preserve">NO</t>
  </si>
  <si>
    <t xml:space="preserve">kg</t>
  </si>
  <si>
    <t xml:space="preserve">saco</t>
  </si>
  <si>
    <t xml:space="preserve">Saco 25 kg</t>
  </si>
  <si>
    <t xml:space="preserve">PRV-001</t>
  </si>
  <si>
    <t xml:space="preserve">H180-25</t>
  </si>
  <si>
    <t xml:space="preserve">SR4</t>
  </si>
  <si>
    <t xml:space="preserve">PMP</t>
  </si>
  <si>
    <t xml:space="preserve">Almacén seco</t>
  </si>
  <si>
    <t xml:space="preserve">A</t>
  </si>
  <si>
    <t xml:space="preserve">Seco y ventilado</t>
  </si>
  <si>
    <t xml:space="preserve">Gluten</t>
  </si>
  <si>
    <t xml:space="preserve">Activo</t>
  </si>
  <si>
    <t xml:space="preserve">MP-HAR-002</t>
  </si>
  <si>
    <t xml:space="preserve">Harina de fuerza W300</t>
  </si>
  <si>
    <t xml:space="preserve">Harina de fuerza W-300 para bollería, saco 25 kg</t>
  </si>
  <si>
    <t xml:space="preserve">Pastelería/Obrador</t>
  </si>
  <si>
    <t xml:space="preserve">H300-25</t>
  </si>
  <si>
    <t xml:space="preserve">MP-LEV-001</t>
  </si>
  <si>
    <t xml:space="preserve">Levadura fresca</t>
  </si>
  <si>
    <t xml:space="preserve">Levadura fresca prensada, bloque 500 g</t>
  </si>
  <si>
    <t xml:space="preserve">Levaduras y mejorantes</t>
  </si>
  <si>
    <t xml:space="preserve">Levadura</t>
  </si>
  <si>
    <t xml:space="preserve">caja</t>
  </si>
  <si>
    <t xml:space="preserve">Caja 10 x 500 g</t>
  </si>
  <si>
    <t xml:space="preserve">LEV-500</t>
  </si>
  <si>
    <t xml:space="preserve">RD10</t>
  </si>
  <si>
    <t xml:space="preserve">FIFO</t>
  </si>
  <si>
    <t xml:space="preserve">Cámara refrigeración</t>
  </si>
  <si>
    <t xml:space="preserve">Refrigerado (0-4 C)</t>
  </si>
  <si>
    <t xml:space="preserve">MP-SAL-001</t>
  </si>
  <si>
    <t xml:space="preserve">Sal marina fina</t>
  </si>
  <si>
    <t xml:space="preserve">Sal marina fina para panificación, saco 25 kg</t>
  </si>
  <si>
    <t xml:space="preserve">Sal y especias</t>
  </si>
  <si>
    <t xml:space="preserve">Otros</t>
  </si>
  <si>
    <t xml:space="preserve">SAL-25</t>
  </si>
  <si>
    <t xml:space="preserve">C</t>
  </si>
  <si>
    <t xml:space="preserve">MP-AZU-001</t>
  </si>
  <si>
    <t xml:space="preserve">Azúcar blanquilla</t>
  </si>
  <si>
    <t xml:space="preserve">Azúcar blanquilla, saco 25 kg</t>
  </si>
  <si>
    <t xml:space="preserve">Azúcares y edulcorantes</t>
  </si>
  <si>
    <t xml:space="preserve">Azúcar</t>
  </si>
  <si>
    <t xml:space="preserve">PRV-002</t>
  </si>
  <si>
    <t xml:space="preserve">AZ-25</t>
  </si>
  <si>
    <t xml:space="preserve">B</t>
  </si>
  <si>
    <t xml:space="preserve">MP-GRA-001</t>
  </si>
  <si>
    <t xml:space="preserve">Mantequilla 82%</t>
  </si>
  <si>
    <t xml:space="preserve">Mantequilla sin sal 82% MG, pastilla 1 kg</t>
  </si>
  <si>
    <t xml:space="preserve">Grasas y aceites</t>
  </si>
  <si>
    <t xml:space="preserve">Mantequilla</t>
  </si>
  <si>
    <t xml:space="preserve">Caja 10 kg</t>
  </si>
  <si>
    <t xml:space="preserve">MTQ-82</t>
  </si>
  <si>
    <t xml:space="preserve">Leche</t>
  </si>
  <si>
    <t xml:space="preserve">MP-GRA-002</t>
  </si>
  <si>
    <t xml:space="preserve">Margarina hojaldre</t>
  </si>
  <si>
    <t xml:space="preserve">Margarina especial hojaldre en placa 2 kg</t>
  </si>
  <si>
    <t xml:space="preserve">Margarina</t>
  </si>
  <si>
    <t xml:space="preserve">Caja 5 x 2 kg</t>
  </si>
  <si>
    <t xml:space="preserve">MRG-HOJ</t>
  </si>
  <si>
    <t xml:space="preserve">MP-LAC-001</t>
  </si>
  <si>
    <t xml:space="preserve">Leche entera UHT</t>
  </si>
  <si>
    <t xml:space="preserve">Leche entera UHT, brick 1 l</t>
  </si>
  <si>
    <t xml:space="preserve">Lácteos y huevos</t>
  </si>
  <si>
    <t xml:space="preserve">l</t>
  </si>
  <si>
    <t xml:space="preserve">Caja 12 x 1 l</t>
  </si>
  <si>
    <t xml:space="preserve">LEC-UHT</t>
  </si>
  <si>
    <t xml:space="preserve">Ambiente</t>
  </si>
  <si>
    <t xml:space="preserve">MP-LAC-002</t>
  </si>
  <si>
    <t xml:space="preserve">Nata 35% MG</t>
  </si>
  <si>
    <t xml:space="preserve">Nata para montar 35% MG, brick 1 l</t>
  </si>
  <si>
    <t xml:space="preserve">Nata</t>
  </si>
  <si>
    <t xml:space="preserve">NAT-35</t>
  </si>
  <si>
    <t xml:space="preserve">MP-LAC-003</t>
  </si>
  <si>
    <t xml:space="preserve">Huevo líquido pasteurizado</t>
  </si>
  <si>
    <t xml:space="preserve">Huevo líquido entero pasteurizado, garrafa 5 kg</t>
  </si>
  <si>
    <t xml:space="preserve">Huevo</t>
  </si>
  <si>
    <t xml:space="preserve">bote</t>
  </si>
  <si>
    <t xml:space="preserve">Garrafa 5 kg</t>
  </si>
  <si>
    <t xml:space="preserve">HUE-LIQ</t>
  </si>
  <si>
    <t xml:space="preserve">Huevos</t>
  </si>
  <si>
    <t xml:space="preserve">MP-CHO-001</t>
  </si>
  <si>
    <t xml:space="preserve">Cobertura negra 55%</t>
  </si>
  <si>
    <t xml:space="preserve">Cobertura de chocolate negro 55% cacao, en gotas</t>
  </si>
  <si>
    <t xml:space="preserve">Chocolates y coberturas</t>
  </si>
  <si>
    <t xml:space="preserve">Cobertura</t>
  </si>
  <si>
    <t xml:space="preserve">Caja 5 kg</t>
  </si>
  <si>
    <t xml:space="preserve">COB-55</t>
  </si>
  <si>
    <t xml:space="preserve">Soja;Leche</t>
  </si>
  <si>
    <t xml:space="preserve">Trazas de leche</t>
  </si>
  <si>
    <t xml:space="preserve">MP-FRU-001</t>
  </si>
  <si>
    <t xml:space="preserve">Almendra molida</t>
  </si>
  <si>
    <t xml:space="preserve">Almendra cruda molida, bolsa 1 kg</t>
  </si>
  <si>
    <t xml:space="preserve">Frutas y frutos secos</t>
  </si>
  <si>
    <t xml:space="preserve">Frutos secos</t>
  </si>
  <si>
    <t xml:space="preserve">paquete</t>
  </si>
  <si>
    <t xml:space="preserve">Bolsa 1 kg</t>
  </si>
  <si>
    <t xml:space="preserve">ALM-MOL</t>
  </si>
  <si>
    <t xml:space="preserve">Frutos de cáscara</t>
  </si>
  <si>
    <t xml:space="preserve">IN-ENV-001</t>
  </si>
  <si>
    <t xml:space="preserve">Bolsa papel antigrasa</t>
  </si>
  <si>
    <t xml:space="preserve">Bolsa de papel antigrasa para pan, 14 x 30 cm</t>
  </si>
  <si>
    <t xml:space="preserve">IN</t>
  </si>
  <si>
    <t xml:space="preserve">Envases y embalajes</t>
  </si>
  <si>
    <t xml:space="preserve">Bolsas y papel</t>
  </si>
  <si>
    <t xml:space="preserve">General</t>
  </si>
  <si>
    <t xml:space="preserve">ud</t>
  </si>
  <si>
    <t xml:space="preserve">Caja 1.000 ud</t>
  </si>
  <si>
    <t xml:space="preserve">PRV-003</t>
  </si>
  <si>
    <t xml:space="preserve">BOL-1430</t>
  </si>
  <si>
    <t xml:space="preserve">GN21</t>
  </si>
  <si>
    <t xml:space="preserve">Trastienda</t>
  </si>
  <si>
    <t xml:space="preserve">IN-ENV-002</t>
  </si>
  <si>
    <t xml:space="preserve">Caja tarta 26 cm</t>
  </si>
  <si>
    <t xml:space="preserve">Caja de cartón para tarta redonda 26 cm</t>
  </si>
  <si>
    <t xml:space="preserve">Cajas</t>
  </si>
  <si>
    <t xml:space="preserve">Paquete 100 ud</t>
  </si>
  <si>
    <t xml:space="preserve">CJT-26</t>
  </si>
  <si>
    <t xml:space="preserve">IN-ENV-003</t>
  </si>
  <si>
    <t xml:space="preserve">Etiqueta ingredientes</t>
  </si>
  <si>
    <t xml:space="preserve">Etiqueta adhesiva de ingredientes y alérgenos</t>
  </si>
  <si>
    <t xml:space="preserve">Etiquetas</t>
  </si>
  <si>
    <t xml:space="preserve">Rollo 500 ud</t>
  </si>
  <si>
    <t xml:space="preserve">ETQ-ING</t>
  </si>
  <si>
    <t xml:space="preserve">Obligatoria en producto envasado</t>
  </si>
  <si>
    <t xml:space="preserve">SE-SEM-001</t>
  </si>
  <si>
    <t xml:space="preserve">Masa madre líquida</t>
  </si>
  <si>
    <t xml:space="preserve">Masa madre líquida de trigo, elaboración propia</t>
  </si>
  <si>
    <t xml:space="preserve">SE</t>
  </si>
  <si>
    <t xml:space="preserve">Semielaborados</t>
  </si>
  <si>
    <t xml:space="preserve">Masas</t>
  </si>
  <si>
    <t xml:space="preserve">Cubo 10 kg</t>
  </si>
  <si>
    <t xml:space="preserve">Refresco diario</t>
  </si>
  <si>
    <t xml:space="preserve">SE-SEM-002</t>
  </si>
  <si>
    <t xml:space="preserve">Masa de hojaldre</t>
  </si>
  <si>
    <t xml:space="preserve">Masa de hojaldre laminada, elaboración propia</t>
  </si>
  <si>
    <t xml:space="preserve">Placa 2 kg</t>
  </si>
  <si>
    <t xml:space="preserve">Congelador</t>
  </si>
  <si>
    <t xml:space="preserve">Congelado (-18 C)</t>
  </si>
  <si>
    <t xml:space="preserve">Gluten;Leche</t>
  </si>
  <si>
    <t xml:space="preserve">SE-SEM-003</t>
  </si>
  <si>
    <t xml:space="preserve">Crema pastelera</t>
  </si>
  <si>
    <t xml:space="preserve">Crema pastelera, elaboración propia</t>
  </si>
  <si>
    <t xml:space="preserve">Cremas y rellenos</t>
  </si>
  <si>
    <t xml:space="preserve">Cubeta 5 kg</t>
  </si>
  <si>
    <t xml:space="preserve">Leche;Huevos;Gluten</t>
  </si>
  <si>
    <t xml:space="preserve">Producto de alto riesgo APPCC</t>
  </si>
  <si>
    <t xml:space="preserve">SE-SEM-004</t>
  </si>
  <si>
    <t xml:space="preserve">Plancha bizcocho genovés</t>
  </si>
  <si>
    <t xml:space="preserve">Plancha de bizcocho genovés 40x60, elaboración propia</t>
  </si>
  <si>
    <t xml:space="preserve">Bizcochos</t>
  </si>
  <si>
    <t xml:space="preserve">Plancha 40x60</t>
  </si>
  <si>
    <t xml:space="preserve">Gluten;Huevos</t>
  </si>
  <si>
    <t xml:space="preserve">PT-PAN-001</t>
  </si>
  <si>
    <t xml:space="preserve">8400000000018</t>
  </si>
  <si>
    <t xml:space="preserve">Barra rústica 250 g</t>
  </si>
  <si>
    <t xml:space="preserve">Barra de pan rústico de masa madre, 250 g</t>
  </si>
  <si>
    <t xml:space="preserve">PT</t>
  </si>
  <si>
    <t xml:space="preserve">Pan</t>
  </si>
  <si>
    <t xml:space="preserve">Barra</t>
  </si>
  <si>
    <t xml:space="preserve">Unidad 250 g</t>
  </si>
  <si>
    <t xml:space="preserve">FIJO</t>
  </si>
  <si>
    <t xml:space="preserve">Tienda / vitrina</t>
  </si>
  <si>
    <t xml:space="preserve">PT-PAN-002</t>
  </si>
  <si>
    <t xml:space="preserve">8400000000025</t>
  </si>
  <si>
    <t xml:space="preserve">Hogaza integral 500 g</t>
  </si>
  <si>
    <t xml:space="preserve">Hogaza de trigo integral con masa madre, 500 g</t>
  </si>
  <si>
    <t xml:space="preserve">Hogaza</t>
  </si>
  <si>
    <t xml:space="preserve">Unidad 500 g</t>
  </si>
  <si>
    <t xml:space="preserve">PT-PAN-003</t>
  </si>
  <si>
    <t xml:space="preserve">8400000000032</t>
  </si>
  <si>
    <t xml:space="preserve">Chapata 200 g</t>
  </si>
  <si>
    <t xml:space="preserve">Chapata de aceite de oliva, 200 g</t>
  </si>
  <si>
    <t xml:space="preserve">Chapata</t>
  </si>
  <si>
    <t xml:space="preserve">Unidad 200 g</t>
  </si>
  <si>
    <t xml:space="preserve">PT-PAN-004</t>
  </si>
  <si>
    <t xml:space="preserve">8400000000049</t>
  </si>
  <si>
    <t xml:space="preserve">Pan de molde 750 g</t>
  </si>
  <si>
    <t xml:space="preserve">Pan de molde blanco rebanado, 750 g</t>
  </si>
  <si>
    <t xml:space="preserve">Pan de molde</t>
  </si>
  <si>
    <t xml:space="preserve">Unidad 750 g</t>
  </si>
  <si>
    <t xml:space="preserve">Gluten;Leche;Soja</t>
  </si>
  <si>
    <t xml:space="preserve">IVA 4% tras Resolución BOE 27/02/2025</t>
  </si>
  <si>
    <t xml:space="preserve">PT-BOL-001</t>
  </si>
  <si>
    <t xml:space="preserve">8400000000056</t>
  </si>
  <si>
    <t xml:space="preserve">Croissant mantequilla</t>
  </si>
  <si>
    <t xml:space="preserve">Croissant de mantequilla artesano</t>
  </si>
  <si>
    <t xml:space="preserve">Bollería</t>
  </si>
  <si>
    <t xml:space="preserve">Croissantería</t>
  </si>
  <si>
    <t xml:space="preserve">Unidad 70 g</t>
  </si>
  <si>
    <t xml:space="preserve">Gluten;Leche;Huevos</t>
  </si>
  <si>
    <t xml:space="preserve">PT-BOL-002</t>
  </si>
  <si>
    <t xml:space="preserve">8400000000063</t>
  </si>
  <si>
    <t xml:space="preserve">Napolitana chocolate</t>
  </si>
  <si>
    <t xml:space="preserve">Napolitana de hojaldre rellena de chocolate</t>
  </si>
  <si>
    <t xml:space="preserve">Unidad 90 g</t>
  </si>
  <si>
    <t xml:space="preserve">Gluten;Leche;Huevos;Soja</t>
  </si>
  <si>
    <t xml:space="preserve">PT-BOL-003</t>
  </si>
  <si>
    <t xml:space="preserve">8400000000070</t>
  </si>
  <si>
    <t xml:space="preserve">Magdalena artesana</t>
  </si>
  <si>
    <t xml:space="preserve">Magdalena artesana de aceite de oliva</t>
  </si>
  <si>
    <t xml:space="preserve">Magdalenas y muffins</t>
  </si>
  <si>
    <t xml:space="preserve">Unidad 60 g</t>
  </si>
  <si>
    <t xml:space="preserve">PT-PAS-001</t>
  </si>
  <si>
    <t xml:space="preserve">8400000000087</t>
  </si>
  <si>
    <t xml:space="preserve">Palmera hojaldre</t>
  </si>
  <si>
    <t xml:space="preserve">Palmera de hojaldre grande</t>
  </si>
  <si>
    <t xml:space="preserve">Pastelería</t>
  </si>
  <si>
    <t xml:space="preserve">Hojaldre</t>
  </si>
  <si>
    <t xml:space="preserve">Unidad 110 g</t>
  </si>
  <si>
    <t xml:space="preserve">PT-TAR-001</t>
  </si>
  <si>
    <t xml:space="preserve">Tarta de queso porción</t>
  </si>
  <si>
    <t xml:space="preserve">Tarta de queso al horno, porción individual</t>
  </si>
  <si>
    <t xml:space="preserve">Tartas</t>
  </si>
  <si>
    <t xml:space="preserve">Tarta por porción</t>
  </si>
  <si>
    <t xml:space="preserve">porción</t>
  </si>
  <si>
    <t xml:space="preserve">Porción 120 g</t>
  </si>
  <si>
    <t xml:space="preserve">PT-TAR-002</t>
  </si>
  <si>
    <t xml:space="preserve">Tarta Sacher 24 cm</t>
  </si>
  <si>
    <t xml:space="preserve">Tarta Sacher entera de 24 cm, 10-12 raciones</t>
  </si>
  <si>
    <t xml:space="preserve">Tarta entera</t>
  </si>
  <si>
    <t xml:space="preserve">Tarta 24 cm</t>
  </si>
  <si>
    <t xml:space="preserve">Gluten;Leche;Huevos;Frutos de cáscara</t>
  </si>
  <si>
    <t xml:space="preserve">Bajo pedido con 24 h</t>
  </si>
  <si>
    <t xml:space="preserve">PT-SLD-001</t>
  </si>
  <si>
    <t xml:space="preserve">Empanada atún porción</t>
  </si>
  <si>
    <t xml:space="preserve">Empanada de atún casera, porción</t>
  </si>
  <si>
    <t xml:space="preserve">Salados</t>
  </si>
  <si>
    <t xml:space="preserve">Empanadas</t>
  </si>
  <si>
    <t xml:space="preserve">Porción 180 g</t>
  </si>
  <si>
    <t xml:space="preserve">Gluten;Pescado;Huevos</t>
  </si>
  <si>
    <t xml:space="preserve">RV-CAF-001</t>
  </si>
  <si>
    <t xml:space="preserve">Café en grano natural</t>
  </si>
  <si>
    <t xml:space="preserve">Café en grano natural para cafetería, 1 kg</t>
  </si>
  <si>
    <t xml:space="preserve">RV</t>
  </si>
  <si>
    <t xml:space="preserve">Cafetería</t>
  </si>
  <si>
    <t xml:space="preserve">Café</t>
  </si>
  <si>
    <t xml:space="preserve">Caja 6 x 1 kg</t>
  </si>
  <si>
    <t xml:space="preserve">CAF-NAT</t>
  </si>
  <si>
    <t xml:space="preserve">MARGEN</t>
  </si>
  <si>
    <t xml:space="preserve">Se vende como servicio de cafetería: revisar tipo aplicable</t>
  </si>
  <si>
    <t xml:space="preserve">RV-BEB-001</t>
  </si>
  <si>
    <t xml:space="preserve">8400000000094</t>
  </si>
  <si>
    <t xml:space="preserve">Agua mineral 50 cl</t>
  </si>
  <si>
    <t xml:space="preserve">Agua mineral natural, botella 50 cl</t>
  </si>
  <si>
    <t xml:space="preserve">Bebidas</t>
  </si>
  <si>
    <t xml:space="preserve">Agua y zumos</t>
  </si>
  <si>
    <t xml:space="preserve">Reventa</t>
  </si>
  <si>
    <t xml:space="preserve">Caja 24 x 50 cl</t>
  </si>
  <si>
    <t xml:space="preserve">AGU-50</t>
  </si>
  <si>
    <t xml:space="preserve">RV-BEB-002</t>
  </si>
  <si>
    <t xml:space="preserve">8400000000100</t>
  </si>
  <si>
    <t xml:space="preserve">Refresco cola lata 33 cl</t>
  </si>
  <si>
    <t xml:space="preserve">Refresco de cola con azúcar, lata 33 cl</t>
  </si>
  <si>
    <t xml:space="preserve">Refrescos</t>
  </si>
  <si>
    <t xml:space="preserve">Caja 24 x 33 cl</t>
  </si>
  <si>
    <t xml:space="preserve">COL-33</t>
  </si>
  <si>
    <t xml:space="preserve">Refrescos azucarados al 21%</t>
  </si>
  <si>
    <t xml:space="preserve">CATÁLOGOS MAESTROS  -  puedes ampliar cada lista hacia abajo (las validaciones se actualizan si extiendes el rango con nombre)</t>
  </si>
  <si>
    <t xml:space="preserve">UNIDAD_MEDIDA</t>
  </si>
  <si>
    <t xml:space="preserve">SI_NO</t>
  </si>
  <si>
    <t xml:space="preserve">VALORACION</t>
  </si>
  <si>
    <t xml:space="preserve">ALERGENOS (Regl. UE 1169/2011)</t>
  </si>
  <si>
    <t xml:space="preserve">Integral / especiales</t>
  </si>
  <si>
    <t xml:space="preserve">g</t>
  </si>
  <si>
    <t xml:space="preserve">Inactivo</t>
  </si>
  <si>
    <t xml:space="preserve">Crustáceos</t>
  </si>
  <si>
    <t xml:space="preserve">Sin gluten</t>
  </si>
  <si>
    <t xml:space="preserve">Descatalogado</t>
  </si>
  <si>
    <t xml:space="preserve">ml</t>
  </si>
  <si>
    <t xml:space="preserve">Obrador</t>
  </si>
  <si>
    <t xml:space="preserve">Pescado</t>
  </si>
  <si>
    <t xml:space="preserve">Mejorante</t>
  </si>
  <si>
    <t xml:space="preserve">Cacahuetes</t>
  </si>
  <si>
    <t xml:space="preserve">docena</t>
  </si>
  <si>
    <t xml:space="preserve">Soja</t>
  </si>
  <si>
    <t xml:space="preserve">bandeja</t>
  </si>
  <si>
    <t xml:space="preserve">Sin ubicación</t>
  </si>
  <si>
    <t xml:space="preserve">Aditivos y aromas</t>
  </si>
  <si>
    <t xml:space="preserve">Aceite</t>
  </si>
  <si>
    <t xml:space="preserve">Apio</t>
  </si>
  <si>
    <t xml:space="preserve">Mostaza</t>
  </si>
  <si>
    <t xml:space="preserve">Consumibles y limpieza</t>
  </si>
  <si>
    <t xml:space="preserve">Sésamo</t>
  </si>
  <si>
    <t xml:space="preserve">Queso</t>
  </si>
  <si>
    <t xml:space="preserve">Sulfitos</t>
  </si>
  <si>
    <t xml:space="preserve">m</t>
  </si>
  <si>
    <t xml:space="preserve">Altramuces</t>
  </si>
  <si>
    <t xml:space="preserve">Fruta fresca</t>
  </si>
  <si>
    <t xml:space="preserve">Moluscos</t>
  </si>
  <si>
    <t xml:space="preserve">Confitura</t>
  </si>
  <si>
    <t xml:space="preserve">Cacao</t>
  </si>
  <si>
    <t xml:space="preserve">Colorantes y aromas</t>
  </si>
  <si>
    <t xml:space="preserve">Gelificantes</t>
  </si>
  <si>
    <t xml:space="preserve">Bandejas</t>
  </si>
  <si>
    <t xml:space="preserve">Pan especial</t>
  </si>
  <si>
    <t xml:space="preserve">Donuts</t>
  </si>
  <si>
    <t xml:space="preserve">Pastel individual</t>
  </si>
  <si>
    <t xml:space="preserve">Galletas</t>
  </si>
  <si>
    <t xml:space="preserve">Bocadillos</t>
  </si>
  <si>
    <t xml:space="preserve">Almíbares</t>
  </si>
  <si>
    <t xml:space="preserve">TIPOS DE IVA APLICABLES (España)</t>
  </si>
  <si>
    <t xml:space="preserve">TIPO</t>
  </si>
  <si>
    <t xml:space="preserve">PORCENTAJE</t>
  </si>
  <si>
    <t xml:space="preserve">APLICACION TIPICA EN PANADERÍA / PASTELERÍA</t>
  </si>
  <si>
    <t xml:space="preserve">REFERENCIA (verificar con tu asesor fiscal)</t>
  </si>
  <si>
    <t xml:space="preserve">Superreducido</t>
  </si>
  <si>
    <t xml:space="preserve">Pan de todo tipo (común y especial: molde, colines, tostado, sin gluten, pita), harinas panificables, leche, quesos, huevos, frutas, verduras, legumbres, tubérculos y cereales naturales.</t>
  </si>
  <si>
    <t xml:space="preserve">Art. 91.Dos LIVA. La extensión a TODOS los panes deriva de la STS de 24/10/2024 y de la Resolución del Min. de Hacienda publicada en el BOE del 27/02/2025.</t>
  </si>
  <si>
    <t xml:space="preserve">Reducido</t>
  </si>
  <si>
    <t xml:space="preserve">Bollería, pastelería, tartas, galletas, azúcar, aceites, y en general alimentos no incluidos en el 4%. También los servicios de hostelería (consumo en el local).</t>
  </si>
  <si>
    <t xml:space="preserve">Art. 91.Uno LIVA.</t>
  </si>
  <si>
    <t xml:space="preserve">Bebidas alcohólicas, bebidas refrescantes con azúcares o edulcorantes añadidos, material de limpieza, envases y embalajes comprados como suministro, artículos no alimentarios.</t>
  </si>
  <si>
    <t xml:space="preserve">Art. 90 LIVA.</t>
  </si>
  <si>
    <t xml:space="preserve">EX0</t>
  </si>
  <si>
    <t xml:space="preserve">Exento / no sujeto</t>
  </si>
  <si>
    <t xml:space="preserve">Operaciones exentas o partidas sin repercusión de IVA.</t>
  </si>
  <si>
    <t xml:space="preserve">Según operación.</t>
  </si>
  <si>
    <t xml:space="preserve">AVISO: la clasificación fiscal de cada producto es responsabilidad de la empresa. Los tipos de IVA cambian con frecuencia; confirma con tu asesor fiscal o en la sede electrónica de la AEAT antes de usar estos códigos en facturación. Cuidado con el punto crítico del sector: el mismo producto tributa distinto si se vende para llevar (tipo del alimento) o si se consume en el local (servicio de hostelería, 10%).</t>
  </si>
  <si>
    <t xml:space="preserve">PARÁMETROS DE LA POLÍTICA DE PRECIO</t>
  </si>
  <si>
    <t xml:space="preserve">Estos umbrales gobiernan el semáforo de la columna DIAGNOSTICO_PRECIO del maestro. Se expresan en PUNTOS PORCENTUALES de desviación entre el margen real y el margen objetivo. Son los valores de arranque sugeridos: ajústalos a la realidad del negocio.</t>
  </si>
  <si>
    <t xml:space="preserve">PARÁMETRO</t>
  </si>
  <si>
    <t xml:space="preserve">NOMBRE INTERNO</t>
  </si>
  <si>
    <t xml:space="preserve">VALOR</t>
  </si>
  <si>
    <t xml:space="preserve">SIGNIFICADO</t>
  </si>
  <si>
    <t xml:space="preserve">Tolerancia en objetivo</t>
  </si>
  <si>
    <t xml:space="preserve">UMB_AJUSTADO</t>
  </si>
  <si>
    <t xml:space="preserve">Hasta 2 puntos por debajo del objetivo se considera EN OBJETIVO. Absorbe el redondeo de precios.</t>
  </si>
  <si>
    <t xml:space="preserve">Umbral de aviso</t>
  </si>
  <si>
    <t xml:space="preserve">UMB_BAJO</t>
  </si>
  <si>
    <t xml:space="preserve">Entre 2 y 5 puntos por debajo: AJUSTADO. Vigilar, pero sin urgencia.</t>
  </si>
  <si>
    <t xml:space="preserve">Umbral crítico</t>
  </si>
  <si>
    <t xml:space="preserve">UMB_CRITICO</t>
  </si>
  <si>
    <t xml:space="preserve">Más de 15 puntos por debajo: MUY POR DEBAJO. Exige revisar precio, coste o receta.</t>
  </si>
  <si>
    <t xml:space="preserve">Umbral de exceso</t>
  </si>
  <si>
    <t xml:space="preserve">UMB_ALTO</t>
  </si>
  <si>
    <t xml:space="preserve">Más de 5 puntos por encima: POR ENCIMA. No es un error, pero conviene saber por qué (¿coste desactualizado? ¿precio poco competitivo?).</t>
  </si>
  <si>
    <t xml:space="preserve">ESTADOS POSIBLES DEL DIAGNÓSTICO</t>
  </si>
  <si>
    <t xml:space="preserve">Sin objetivo</t>
  </si>
  <si>
    <t xml:space="preserve">No se ha fijado MARGEN_OBJETIVO_%. El sistema no puede juzgar el precio.</t>
  </si>
  <si>
    <t xml:space="preserve">Faltan datos</t>
  </si>
  <si>
    <t xml:space="preserve">Falta el coste o el precio. Hasta completarlos, el margen no es calculable.</t>
  </si>
  <si>
    <t xml:space="preserve">PÉRDIDA</t>
  </si>
  <si>
    <t xml:space="preserve">El precio de venta está por debajo del coste. Cada unidad vendida destruye caja.</t>
  </si>
  <si>
    <t xml:space="preserve">MUY POR DEBAJO</t>
  </si>
  <si>
    <t xml:space="preserve">Desviación superior al umbral crítico. Revisar precio, coste o receta.</t>
  </si>
  <si>
    <t xml:space="preserve">POR DEBAJO</t>
  </si>
  <si>
    <t xml:space="preserve">Desviación entre el umbral de aviso y el crítico. Corregir en la próxima revisión de tarifa.</t>
  </si>
  <si>
    <t xml:space="preserve">AJUSTADO</t>
  </si>
  <si>
    <t xml:space="preserve">Ligeramente por debajo del objetivo. Vigilar sin urgencia.</t>
  </si>
  <si>
    <t xml:space="preserve">EN OBJETIVO</t>
  </si>
  <si>
    <t xml:space="preserve">El precio aplicado cumple la política de margen.</t>
  </si>
  <si>
    <t xml:space="preserve">POR ENCIMA</t>
  </si>
  <si>
    <t xml:space="preserve">Margen superior al objetivo. Verificar que el coste esté actualizado y que el precio siga siendo competitivo.</t>
  </si>
  <si>
    <t xml:space="preserve">NOTA SOBRE EL MARGEN. Se calcula SOBRE PRECIO, no sobre coste: margen = (precio sin IVA - coste) / precio sin IVA. Un margen del 70 % significa que el coste representa el 30 % del precio. No confundirlo con el marcaje o markup (coste x N), que da cifras muy distintas: un margen del 70 % equivale a multiplicar el coste por 3,33.</t>
  </si>
  <si>
    <t xml:space="preserve">ADVERTENCIA. El diagnóstico solo vale lo que valga COSTE_UD_VENTA. En artículos PT y SE ese coste es hoy una estimación manual: el semáforo indica tendencia, no verdad contable. Cuando exista el módulo de recetas, el coste vendrá del escandallo y el diagnóstico pasará a ser fiable.</t>
  </si>
  <si>
    <t xml:space="preserve">CATÁLOGO DE PROVEEDORES</t>
  </si>
  <si>
    <t xml:space="preserve">NOMBRE / RAZON SOCIAL</t>
  </si>
  <si>
    <t xml:space="preserve">NIF/CIF</t>
  </si>
  <si>
    <t xml:space="preserve">CONTACTO</t>
  </si>
  <si>
    <t xml:space="preserve">TELÉFONO</t>
  </si>
  <si>
    <t xml:space="preserve">EMAIL</t>
  </si>
  <si>
    <t xml:space="preserve">DIAS DE ENTREGA</t>
  </si>
  <si>
    <t xml:space="preserve">EJEMPLO - Harinera del Norte, S.L.</t>
  </si>
  <si>
    <t xml:space="preserve">B00000000</t>
  </si>
  <si>
    <t xml:space="preserve">L-X-V</t>
  </si>
  <si>
    <t xml:space="preserve">FILA DE EJEMPLO: sustituir</t>
  </si>
  <si>
    <t xml:space="preserve">EJEMPLO - Lácteos y Huevos Distrib.</t>
  </si>
  <si>
    <t xml:space="preserve">B00000001</t>
  </si>
  <si>
    <t xml:space="preserve">M-J</t>
  </si>
  <si>
    <t xml:space="preserve">EJEMPLO - Envases y Packaging</t>
  </si>
  <si>
    <t xml:space="preserve">B00000002</t>
  </si>
  <si>
    <t xml:space="preserve">Mensual</t>
  </si>
  <si>
    <t xml:space="preserve">REGLAS DE CONFORMACIÓN DE CÓDIGOS  -  instructivo de obligado cumplimiento</t>
  </si>
  <si>
    <t xml:space="preserve">ESTRUCTURA:   T T  -  F F F  -  N N N        ejemplo:   MP-HAR-001</t>
  </si>
  <si>
    <t xml:space="preserve">Segmento 1 (2 caracteres) = TIPO de artículo   ·   Segmento 2 (3 caracteres) = FAMILIA   ·   Segmento 3 (3 dígitos) = CORRELATIVO dentro de esa combinación.   Longitud fija: 10 caracteres.</t>
  </si>
  <si>
    <t xml:space="preserve">1. LAS SIETE REGLAS INNEGOCIABLES</t>
  </si>
  <si>
    <t xml:space="preserve">#</t>
  </si>
  <si>
    <t xml:space="preserve">REGLA</t>
  </si>
  <si>
    <t xml:space="preserve">POR QUÉ</t>
  </si>
  <si>
    <t xml:space="preserve">ÚNICO: un código = un artículo, sin excepciones.</t>
  </si>
  <si>
    <t xml:space="preserve">Es la llave del sistema. Un duplicado mezcla stock, coste e histórico de dos productos distintos, y el error solo se descubre cuando ya no se puede reconstruir.</t>
  </si>
  <si>
    <t xml:space="preserve">INMUTABLE: una vez emitido, el código no se cambia jamás.</t>
  </si>
  <si>
    <t xml:space="preserve">Cambiarlo rompe la referencia de albaranes, tickets, inventarios y recetas ya emitidos.</t>
  </si>
  <si>
    <t xml:space="preserve">NO REUTILIZABLE: el código de un artículo dado de baja queda muerto para siempre.</t>
  </si>
  <si>
    <t xml:space="preserve">Reutilizarlo fusiona dos historiales de consumo, coste y trazabilidad en una misma referencia.</t>
  </si>
  <si>
    <t xml:space="preserve">SIN BORRADO: nunca se elimina una fila del maestro; se cambia ESTADO a Inactivo o Descatalogado.</t>
  </si>
  <si>
    <t xml:space="preserve">Preserva el histórico y permite reactivar productos de temporada sin recodificar.</t>
  </si>
  <si>
    <t xml:space="preserve">LONGITUD FIJA: siempre 10 caracteres, correlativo siempre a 3 dígitos (001, nunca 1).</t>
  </si>
  <si>
    <t xml:space="preserve">Permite ordenar, buscar y validar por longitud. Evita que 1, 01 y 001 acaben conviviendo como tres códigos distintos.</t>
  </si>
  <si>
    <t xml:space="preserve">SOLO MAYÚSCULAS, DÍGITOS Y GUION. Prohibidos: espacios, acentos, Ñ, barras, puntos, comas, comillas y símbolos.</t>
  </si>
  <si>
    <t xml:space="preserve">Esos caracteres rompen importaciones, exportaciones a CSV, códigos de barras y consultas de base de datos.</t>
  </si>
  <si>
    <t xml:space="preserve">SOLO SE CODIFICA LO QUE NUNCA CAMBIA: tipo y familia. Nunca proveedor, precio, año ni ubicación.</t>
  </si>
  <si>
    <t xml:space="preserve">Si cambias de proveedor o el producto sube de precio, el código quedaría mintiendo. Regla de oro: si el atributo puede cambiar, va en una columna, no en el código.</t>
  </si>
  <si>
    <t xml:space="preserve">2. PREFIJOS DE TIPO  (segmento 1)</t>
  </si>
  <si>
    <t xml:space="preserve">COD</t>
  </si>
  <si>
    <t xml:space="preserve">COMPORTAMIENTO</t>
  </si>
  <si>
    <t xml:space="preserve">Materia prima</t>
  </si>
  <si>
    <t xml:space="preserve">Se compra · No se produce · No se vende. Coste = precio de compra ÷ factor.</t>
  </si>
  <si>
    <t xml:space="preserve">Insumo, envase o consumible</t>
  </si>
  <si>
    <t xml:space="preserve">Se compra · No se produce · No se vende. No forma parte de la fórmula alimentaria.</t>
  </si>
  <si>
    <t xml:space="preserve">Semielaborado de obrador</t>
  </si>
  <si>
    <t xml:space="preserve">No se compra · Se produce · No se vende. Es salida de una orden y entrada de otra.</t>
  </si>
  <si>
    <t xml:space="preserve">Producto terminado elaborado</t>
  </si>
  <si>
    <t xml:space="preserve">No se compra · Se produce · Se vende. Coste desde el escandallo.</t>
  </si>
  <si>
    <t xml:space="preserve">Producto de reventa</t>
  </si>
  <si>
    <t xml:space="preserve">Se compra · No se produce · Se vende sin transformar.</t>
  </si>
  <si>
    <t xml:space="preserve">3. PREFIJOS DE FAMILIA  (segmento 2)  -  deben coincidir con la hoja CATALOGOS</t>
  </si>
  <si>
    <t xml:space="preserve">NOTA</t>
  </si>
  <si>
    <t xml:space="preserve">HAR</t>
  </si>
  <si>
    <t xml:space="preserve">LEV</t>
  </si>
  <si>
    <t xml:space="preserve">AZU</t>
  </si>
  <si>
    <t xml:space="preserve">GRA</t>
  </si>
  <si>
    <t xml:space="preserve">LAC</t>
  </si>
  <si>
    <t xml:space="preserve">FRU</t>
  </si>
  <si>
    <t xml:space="preserve">CHO</t>
  </si>
  <si>
    <t xml:space="preserve">ADI</t>
  </si>
  <si>
    <t xml:space="preserve">SAL</t>
  </si>
  <si>
    <t xml:space="preserve">ENV</t>
  </si>
  <si>
    <t xml:space="preserve">LIM</t>
  </si>
  <si>
    <t xml:space="preserve">PAN</t>
  </si>
  <si>
    <t xml:space="preserve">BOL</t>
  </si>
  <si>
    <t xml:space="preserve">PAS</t>
  </si>
  <si>
    <t xml:space="preserve">TAR</t>
  </si>
  <si>
    <t xml:space="preserve">SLD</t>
  </si>
  <si>
    <t xml:space="preserve">Salados es SLD porque SAL ya está tomado por Sal y especias. Cuando hay colisión, la unicidad manda sobre la mnemotecnia.</t>
  </si>
  <si>
    <t xml:space="preserve">BEB</t>
  </si>
  <si>
    <t xml:space="preserve">CAF</t>
  </si>
  <si>
    <t xml:space="preserve">SEM</t>
  </si>
  <si>
    <t xml:space="preserve">Familia reservada a los semielaborados de obrador (masas, cremas, bizcochos, almíbares).</t>
  </si>
  <si>
    <t xml:space="preserve">4. REGLAS DEL CORRELATIVO  (segmento 3)</t>
  </si>
  <si>
    <t xml:space="preserve">EJEMPLO O CONSECUENCIA</t>
  </si>
  <si>
    <t xml:space="preserve">Numeración desde 001, independiente dentro de cada combinación TIPO + FAMILIA.</t>
  </si>
  <si>
    <t xml:space="preserve">MP-HAR-001, MP-HAR-002 ... conviven con PT-PAN-001, PT-PAN-002 sin interferir.</t>
  </si>
  <si>
    <t xml:space="preserve">Nunca se reinicia ni se rellenan los huecos que dejan las bajas.</t>
  </si>
  <si>
    <t xml:space="preserve">Si MP-HAR-002 se descataloga y ya existe el 003, el siguiente alta es MP-HAR-004.</t>
  </si>
  <si>
    <t xml:space="preserve">Capacidad: 999 artículos por combinación. Al acercarse a 900 hay que abrir familia nueva, no ampliar el correlativo.</t>
  </si>
  <si>
    <t xml:space="preserve">Ampliar a 4 dígitos rompería la longitud fija y obligaría a recodificar todo el maestro.</t>
  </si>
  <si>
    <t xml:space="preserve">El correlativo no significa nada: no indica antigüedad, ni rotación, ni importancia.</t>
  </si>
  <si>
    <t xml:space="preserve">Cualquier intento de darle significado (bloques reservados por proveedor, por ejemplo) viola la regla 7.</t>
  </si>
  <si>
    <t xml:space="preserve">5. CASOS ESPECIALES DEL SECTOR:  ¿UN CÓDIGO O DOS?</t>
  </si>
  <si>
    <t xml:space="preserve">CASO</t>
  </si>
  <si>
    <t xml:space="preserve">DECISIÓN Y MOTIVO</t>
  </si>
  <si>
    <t xml:space="preserve">Mismo pan en 250 g y en 500 g</t>
  </si>
  <si>
    <t xml:space="preserve">DOS códigos. Distinto coste, distinto precio y distinto consumo de masa. Con un solo código es imposible costear ni medir rendimiento del obrador.</t>
  </si>
  <si>
    <t xml:space="preserve">Tarta entera y tarta por porción</t>
  </si>
  <si>
    <t xml:space="preserve">DOS códigos. Se venden en unidades de medida distintas. La porción se descuenta de la tarta con una receta de fraccionamiento.</t>
  </si>
  <si>
    <t xml:space="preserve">Mismo croissant para llevar y consumido en el local</t>
  </si>
  <si>
    <t xml:space="preserve">UN código. Es el mismo artículo físico; lo que cambia es el canal de venta y su IVA, y eso lo resuelve el TPV, no el maestro.</t>
  </si>
  <si>
    <t xml:space="preserve">Producto de temporada (roscón, panettone, torrijas)</t>
  </si>
  <si>
    <t xml:space="preserve">UN código permanente. No se da de baja ni se recodifica cada año: se pone ESTADO = Inactivo fuera de temporada y se reactiva. Así el histórico es comparable año contra año.</t>
  </si>
  <si>
    <t xml:space="preserve">Versión sin gluten de un producto existente</t>
  </si>
  <si>
    <t xml:space="preserve">DOS códigos. Distinta receta, distinto alérgeno declarado y distinto protocolo de producción. Confundirlos es un riesgo sanitario y legal, no solo administrativo.</t>
  </si>
  <si>
    <t xml:space="preserve">Semielaborado que además se vende crudo al público</t>
  </si>
  <si>
    <t xml:space="preserve">DOS códigos (uno SE y uno PT), enlazados por una receta 1:1. El SE alimenta las recetas internas; el PT se vende. Mezclarlos rompe el coste del obrador.</t>
  </si>
  <si>
    <t xml:space="preserve">Mismo artículo servido por dos proveedores</t>
  </si>
  <si>
    <t xml:space="preserve">UN código. El proveedor es un atributo variable: va en la columna COD_PROVEEDOR, nunca en el código.</t>
  </si>
  <si>
    <t xml:space="preserve">El proveedor cambia el formato del saco de 25 kg a 20 kg</t>
  </si>
  <si>
    <t xml:space="preserve">UN código. Sigue siendo el mismo artículo: se actualizan FACTOR_COMPRA_A_BASE y el precio de compra.</t>
  </si>
  <si>
    <t xml:space="preserve">9</t>
  </si>
  <si>
    <t xml:space="preserve">Producto idéntico con dos marcas comerciales de reventa</t>
  </si>
  <si>
    <t xml:space="preserve">DOS códigos. Distinto EAN, distinto precio de compra y el cliente los distingue.</t>
  </si>
  <si>
    <t xml:space="preserve">6. PROCEDIMIENTO DE ALTA, MODIFICACIÓN Y BAJA</t>
  </si>
  <si>
    <t xml:space="preserve">PASO</t>
  </si>
  <si>
    <t xml:space="preserve">RESPONSABLE</t>
  </si>
  <si>
    <t xml:space="preserve">ACCIÓN</t>
  </si>
  <si>
    <t xml:space="preserve">A1</t>
  </si>
  <si>
    <t xml:space="preserve">Quien solicita el alta</t>
  </si>
  <si>
    <t xml:space="preserve">Buscar antes el producto en el maestro por palabra clave de la descripción, probando dos o tres variantes. La mayoría de los duplicados nacen simplemente por no buscar.</t>
  </si>
  <si>
    <t xml:space="preserve">A2</t>
  </si>
  <si>
    <t xml:space="preserve">Responsable del maestro</t>
  </si>
  <si>
    <t xml:space="preserve">Determinar TIPO y FAMILIA. Ante la duda del tipo, responder en orden: ¿se compra?, ¿se produce?, ¿se vende?</t>
  </si>
  <si>
    <t xml:space="preserve">A3</t>
  </si>
  <si>
    <t xml:space="preserve">Tomar el correlativo siguiente de esa combinación TIPO + FAMILIA y componer el código.</t>
  </si>
  <si>
    <t xml:space="preserve">A4</t>
  </si>
  <si>
    <t xml:space="preserve">Rellenar TODOS los campos obligatorios. Un alta incompleta es peor que no darla: genera movimientos sin coste ni control que después nadie corrige.</t>
  </si>
  <si>
    <t xml:space="preserve">A5</t>
  </si>
  <si>
    <t xml:space="preserve">Compras</t>
  </si>
  <si>
    <t xml:space="preserve">Verificar el factor de conversión contra un albarán real antes de operar con el artículo.</t>
  </si>
  <si>
    <t xml:space="preserve">M1</t>
  </si>
  <si>
    <t xml:space="preserve">SE PUEDE modificar: descripción, precios, proveedor, plazos, stocks, ubicación, clase ABC, alérgenos y observaciones.</t>
  </si>
  <si>
    <t xml:space="preserve">M2</t>
  </si>
  <si>
    <t xml:space="preserve">Dirección</t>
  </si>
  <si>
    <t xml:space="preserve">NO se puede modificar: CODIGO, TIPO_ARTICULO ni UM_BASE_STOCK. Si es imprescindible cambiarlos, se da de baja el artículo y se crea uno nuevo.</t>
  </si>
  <si>
    <t xml:space="preserve">B1</t>
  </si>
  <si>
    <t xml:space="preserve">Baja: cambiar ESTADO a Inactivo (pausa temporal) o Descatalogado (definitivo). Nunca borrar la fila.</t>
  </si>
  <si>
    <t xml:space="preserve">B2</t>
  </si>
  <si>
    <t xml:space="preserve">Antes de descatalogar, comprobar que el artículo no aparece en ninguna receta activa.</t>
  </si>
  <si>
    <t xml:space="preserve">7. NORMALIZACIÓN DE LA DESCRIPCIÓN  -  la mejor defensa contra los duplicados</t>
  </si>
  <si>
    <t xml:space="preserve">CORRECTO  /  INCORRECTO</t>
  </si>
  <si>
    <t xml:space="preserve">Orden fijo: SUSTANTIVO + variedad + formato o gramaje.</t>
  </si>
  <si>
    <t xml:space="preserve">CORRECTO: Harina trigo W180 saco 25 kg      /      INCORRECTO: Saco de 25 kg de harina de trigo</t>
  </si>
  <si>
    <t xml:space="preserve">Sin artículos ni preposiciones innecesarias.</t>
  </si>
  <si>
    <t xml:space="preserve">CORRECTO: Cobertura negra 55%      /      INCORRECTO: La cobertura de chocolate negro del 55%</t>
  </si>
  <si>
    <t xml:space="preserve">Sin abreviaturas inventadas; siempre las mismas.</t>
  </si>
  <si>
    <t xml:space="preserve">CORRECTO: Mantequilla 82% MG      /      INCORRECTO: Manteq. 82 m.g.</t>
  </si>
  <si>
    <t xml:space="preserve">Unidades siempre con el mismo formato y con espacio.</t>
  </si>
  <si>
    <t xml:space="preserve">CORRECTO: 250 g  ·  1 kg  ·  50 cl      /      INCORRECTO: 250gr  ·  1Kg  ·  0,5L</t>
  </si>
  <si>
    <t xml:space="preserve">DESCRIPCION_TPV: máximo 30 caracteres y legible para el cliente en el ticket.</t>
  </si>
  <si>
    <t xml:space="preserve">CORRECTO: Barra rústica 250 g      /      INCORRECTO: PAN RUST MASA MADRE 250G REF4</t>
  </si>
  <si>
    <t xml:space="preserve">8. DIAGNÓSTICO:  ¿SIRVE MI CODIFICACIÓN ACTUAL?</t>
  </si>
  <si>
    <t xml:space="preserve">PREGUNTA</t>
  </si>
  <si>
    <t xml:space="preserve">SI LA RESPUESTA ES NO</t>
  </si>
  <si>
    <t xml:space="preserve">¿Todos los códigos tienen la misma longitud?</t>
  </si>
  <si>
    <t xml:space="preserve">Riesgo MEDIO. Dificulta ordenar y validar, pero se puede convivir añadiendo ceros a la izquierda.</t>
  </si>
  <si>
    <t xml:space="preserve">¿Son todos únicos, sin ningún duplicado?</t>
  </si>
  <si>
    <t xml:space="preserve">Riesgo CRÍTICO. Hay que sanearlo antes de cargar nada: un duplicado invalida el inventario desde el primer día.</t>
  </si>
  <si>
    <t xml:space="preserve">¿Es cierto que nunca se ha reutilizado el código de un producto dado de baja?</t>
  </si>
  <si>
    <t xml:space="preserve">Riesgo CRÍTICO. El histórico de esas referencias no es fiable y no se puede reconstruir hacia atrás.</t>
  </si>
  <si>
    <t xml:space="preserve">¿Está libre el código de datos que pueden cambiar (proveedor, año, precio)?</t>
  </si>
  <si>
    <t xml:space="preserve">Riesgo ALTO. El código quedará obsoleto. Valorar recodificación antes de crecer.</t>
  </si>
  <si>
    <t xml:space="preserve">¿Está libre de espacios, acentos, Ñ y símbolos?</t>
  </si>
  <si>
    <t xml:space="preserve">Riesgo ALTO. Fallará en importaciones, exportaciones y códigos de barras.</t>
  </si>
  <si>
    <t xml:space="preserve">¿Se puede saber el tipo de artículo mirando el código?</t>
  </si>
  <si>
    <t xml:space="preserve">Riesgo BAJO. Se resuelve con la columna TIPO_ARTICULO: no justifica recodificar.</t>
  </si>
  <si>
    <t xml:space="preserve">¿Existe una única persona responsable de dar altas?</t>
  </si>
  <si>
    <t xml:space="preserve">Riesgo ALTO. Es la causa número uno de duplicados en el maestro.</t>
  </si>
  <si>
    <t xml:space="preserve">VEREDICTO: si fallan los puntos 2 o 3, la codificación actual NO es utilizable tal cual y hay que sanearla antes de cargar el maestro. Si solo fallan los puntos 1, 4, 5 o 6, se puede conservar la codificación actual y compensar con las columnas de clasificación del maestro: cuesta mucho menos que recodificar y el riesgo es asumible.</t>
  </si>
</sst>
</file>

<file path=xl/styles.xml><?xml version="1.0" encoding="utf-8"?>
<styleSheet xmlns="http://schemas.openxmlformats.org/spreadsheetml/2006/main">
  <numFmts count="9">
    <numFmt numFmtId="164" formatCode="General"/>
    <numFmt numFmtId="165" formatCode="#,##0.###"/>
    <numFmt numFmtId="166" formatCode="#,##0.00&quot; EUR&quot;"/>
    <numFmt numFmtId="167" formatCode="#,##0.0000&quot; EUR&quot;"/>
    <numFmt numFmtId="168" formatCode="0.0"/>
    <numFmt numFmtId="169" formatCode="0.0%"/>
    <numFmt numFmtId="170" formatCode="\+0.0%;\-0.0%;0.0%"/>
    <numFmt numFmtId="171" formatCode="\+#,##0.00&quot; EUR&quot;;\-#,##0.00&quot; EUR&quot;;0.00&quot; EUR&quot;"/>
    <numFmt numFmtId="172" formatCode="dd/mm/yyyy"/>
  </numFmts>
  <fonts count="28">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FFFFFF"/>
      <name val="Arial"/>
      <family val="0"/>
      <charset val="1"/>
    </font>
    <font>
      <b val="true"/>
      <sz val="10"/>
      <color rgb="FF1F3864"/>
      <name val="Arial"/>
      <family val="0"/>
      <charset val="1"/>
    </font>
    <font>
      <sz val="10"/>
      <name val="Arial"/>
      <family val="0"/>
      <charset val="1"/>
    </font>
    <font>
      <b val="true"/>
      <sz val="13"/>
      <color rgb="FFFFFFFF"/>
      <name val="Arial"/>
      <family val="0"/>
      <charset val="1"/>
    </font>
    <font>
      <b val="true"/>
      <sz val="10"/>
      <name val="Arial"/>
      <family val="0"/>
      <charset val="1"/>
    </font>
    <font>
      <sz val="9"/>
      <name val="Arial"/>
      <family val="0"/>
      <charset val="1"/>
    </font>
    <font>
      <b val="true"/>
      <sz val="9"/>
      <name val="Arial"/>
      <family val="0"/>
      <charset val="1"/>
    </font>
    <font>
      <b val="true"/>
      <sz val="10"/>
      <color rgb="FFFFFFFF"/>
      <name val="Arial"/>
      <family val="0"/>
      <charset val="1"/>
    </font>
    <font>
      <b val="true"/>
      <sz val="9"/>
      <color rgb="FFFFFFFF"/>
      <name val="Arial"/>
      <family val="0"/>
      <charset val="1"/>
    </font>
    <font>
      <i val="true"/>
      <sz val="9"/>
      <color rgb="FF000000"/>
      <name val="Arial"/>
      <family val="0"/>
      <charset val="1"/>
    </font>
    <font>
      <i val="true"/>
      <sz val="9"/>
      <color rgb="FF1F3864"/>
      <name val="Arial"/>
      <family val="0"/>
      <charset val="1"/>
    </font>
    <font>
      <sz val="9"/>
      <color rgb="FF000000"/>
      <name val="Arial"/>
      <family val="0"/>
      <charset val="1"/>
    </font>
    <font>
      <sz val="9"/>
      <color rgb="FF1F3864"/>
      <name val="Arial"/>
      <family val="0"/>
      <charset val="1"/>
    </font>
    <font>
      <sz val="10"/>
      <name val="Arial"/>
      <family val="2"/>
    </font>
    <font>
      <b val="true"/>
      <sz val="12"/>
      <color rgb="FFFFFFFF"/>
      <name val="Arial"/>
      <family val="0"/>
      <charset val="1"/>
    </font>
    <font>
      <i val="true"/>
      <sz val="10"/>
      <color rgb="FFC00000"/>
      <name val="Arial"/>
      <family val="0"/>
      <charset val="1"/>
    </font>
    <font>
      <i val="true"/>
      <sz val="10"/>
      <name val="Arial"/>
      <family val="0"/>
      <charset val="1"/>
    </font>
    <font>
      <sz val="10"/>
      <color rgb="FF000000"/>
      <name val="Arial"/>
      <family val="0"/>
      <charset val="1"/>
    </font>
    <font>
      <b val="true"/>
      <sz val="10"/>
      <color rgb="FF0000FF"/>
      <name val="Arial"/>
      <family val="0"/>
      <charset val="1"/>
    </font>
    <font>
      <b val="true"/>
      <sz val="10"/>
      <color rgb="FF000000"/>
      <name val="Arial"/>
      <family val="0"/>
      <charset val="1"/>
    </font>
    <font>
      <i val="true"/>
      <sz val="10"/>
      <color rgb="FF833C00"/>
      <name val="Arial"/>
      <family val="0"/>
      <charset val="1"/>
    </font>
    <font>
      <b val="true"/>
      <sz val="10"/>
      <color rgb="FFC00000"/>
      <name val="Arial"/>
      <family val="0"/>
      <charset val="1"/>
    </font>
    <font>
      <b val="true"/>
      <sz val="13"/>
      <color rgb="FF1F3864"/>
      <name val="Courier New"/>
      <family val="0"/>
      <charset val="1"/>
    </font>
  </fonts>
  <fills count="20">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D9D9D9"/>
        <bgColor rgb="FFBDD7EE"/>
      </patternFill>
    </fill>
    <fill>
      <patternFill patternType="solid">
        <fgColor rgb="FFE2EFDA"/>
        <bgColor rgb="FFC6EFCE"/>
      </patternFill>
    </fill>
    <fill>
      <patternFill patternType="solid">
        <fgColor rgb="FF548235"/>
        <bgColor rgb="FF808080"/>
      </patternFill>
    </fill>
    <fill>
      <patternFill patternType="solid">
        <fgColor rgb="FFBF8F00"/>
        <bgColor rgb="FF9C6500"/>
      </patternFill>
    </fill>
    <fill>
      <patternFill patternType="solid">
        <fgColor rgb="FFC00000"/>
        <bgColor rgb="FF9C0006"/>
      </patternFill>
    </fill>
    <fill>
      <patternFill patternType="solid">
        <fgColor rgb="FF833C00"/>
        <bgColor rgb="FF9C6500"/>
      </patternFill>
    </fill>
    <fill>
      <patternFill patternType="solid">
        <fgColor rgb="FF7030A0"/>
        <bgColor rgb="FF993366"/>
      </patternFill>
    </fill>
    <fill>
      <patternFill patternType="solid">
        <fgColor rgb="FF00706C"/>
        <bgColor rgb="FF008080"/>
      </patternFill>
    </fill>
    <fill>
      <patternFill patternType="solid">
        <fgColor rgb="FF404040"/>
        <bgColor rgb="FF1F3864"/>
      </patternFill>
    </fill>
    <fill>
      <patternFill patternType="solid">
        <fgColor rgb="FFFFF9E6"/>
        <bgColor rgb="FFFFFFFF"/>
      </patternFill>
    </fill>
    <fill>
      <patternFill patternType="solid">
        <fgColor rgb="FFFFF2CC"/>
        <bgColor rgb="FFFFF9E6"/>
      </patternFill>
    </fill>
    <fill>
      <patternFill patternType="solid">
        <fgColor rgb="FFFF7C80"/>
        <bgColor rgb="FFFF99CC"/>
      </patternFill>
    </fill>
    <fill>
      <patternFill patternType="solid">
        <fgColor rgb="FFFFC7CE"/>
        <bgColor rgb="FFD9D9D9"/>
      </patternFill>
    </fill>
    <fill>
      <patternFill patternType="solid">
        <fgColor rgb="FFFFEB9C"/>
        <bgColor rgb="FFFFF2CC"/>
      </patternFill>
    </fill>
    <fill>
      <patternFill patternType="solid">
        <fgColor rgb="FFC6EFCE"/>
        <bgColor rgb="FFE2EFDA"/>
      </patternFill>
    </fill>
    <fill>
      <patternFill patternType="solid">
        <fgColor rgb="FFBDD7EE"/>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2" fillId="6" borderId="0" xfId="0" applyFont="true" applyBorder="true" applyAlignment="true" applyProtection="false">
      <alignment horizontal="center" vertical="center" textRotation="0" wrapText="false" indent="0" shrinkToFit="false"/>
      <protection locked="true" hidden="false"/>
    </xf>
    <xf numFmtId="164" fontId="12" fillId="7" borderId="0" xfId="0" applyFont="true" applyBorder="true" applyAlignment="true" applyProtection="false">
      <alignment horizontal="center" vertical="center" textRotation="0" wrapText="false" indent="0" shrinkToFit="false"/>
      <protection locked="true" hidden="false"/>
    </xf>
    <xf numFmtId="164" fontId="12" fillId="8" borderId="0" xfId="0" applyFont="true" applyBorder="true" applyAlignment="true" applyProtection="false">
      <alignment horizontal="center" vertical="center" textRotation="0" wrapText="false" indent="0" shrinkToFit="false"/>
      <protection locked="true" hidden="false"/>
    </xf>
    <xf numFmtId="164" fontId="12" fillId="9" borderId="0" xfId="0" applyFont="true" applyBorder="true" applyAlignment="true" applyProtection="false">
      <alignment horizontal="center" vertical="center" textRotation="0" wrapText="false" indent="0" shrinkToFit="false"/>
      <protection locked="true" hidden="false"/>
    </xf>
    <xf numFmtId="164" fontId="12" fillId="10" borderId="0" xfId="0" applyFont="true" applyBorder="tru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center" vertical="center" textRotation="0" wrapText="false" indent="0" shrinkToFit="false"/>
      <protection locked="true" hidden="false"/>
    </xf>
    <xf numFmtId="164" fontId="12" fillId="12" borderId="0" xfId="0" applyFont="true" applyBorder="true" applyAlignment="true" applyProtection="false">
      <alignment horizontal="center" vertical="center"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13" fillId="11" borderId="1" xfId="0" applyFont="true" applyBorder="true" applyAlignment="true" applyProtection="false">
      <alignment horizontal="center" vertical="center" textRotation="0" wrapText="true" indent="0" shrinkToFit="false"/>
      <protection locked="true" hidden="false"/>
    </xf>
    <xf numFmtId="164" fontId="13" fillId="12" borderId="1" xfId="0" applyFont="true" applyBorder="true" applyAlignment="true" applyProtection="false">
      <alignment horizontal="center" vertical="center" textRotation="0" wrapText="true" indent="0" shrinkToFit="false"/>
      <protection locked="true" hidden="false"/>
    </xf>
    <xf numFmtId="164" fontId="14" fillId="13" borderId="1" xfId="0" applyFont="true" applyBorder="true" applyAlignment="true" applyProtection="false">
      <alignment horizontal="center" vertical="center" textRotation="0" wrapText="false" indent="0" shrinkToFit="false"/>
      <protection locked="true" hidden="false"/>
    </xf>
    <xf numFmtId="164" fontId="14" fillId="13" borderId="1" xfId="0" applyFont="true" applyBorder="true" applyAlignment="true" applyProtection="false">
      <alignment horizontal="left" vertical="center" textRotation="0" wrapText="false" indent="0" shrinkToFit="false"/>
      <protection locked="true" hidden="false"/>
    </xf>
    <xf numFmtId="165" fontId="14" fillId="13" borderId="1" xfId="0" applyFont="true" applyBorder="true" applyAlignment="true" applyProtection="false">
      <alignment horizontal="center" vertical="center" textRotation="0" wrapText="false" indent="0" shrinkToFit="false"/>
      <protection locked="true" hidden="false"/>
    </xf>
    <xf numFmtId="166" fontId="14" fillId="13" borderId="1" xfId="0" applyFont="true" applyBorder="true" applyAlignment="true" applyProtection="false">
      <alignment horizontal="center" vertical="center" textRotation="0" wrapText="false" indent="0" shrinkToFit="false"/>
      <protection locked="true" hidden="false"/>
    </xf>
    <xf numFmtId="167" fontId="15" fillId="5" borderId="1" xfId="0" applyFont="true" applyBorder="true" applyAlignment="true" applyProtection="false">
      <alignment horizontal="center" vertical="center" textRotation="0" wrapText="false" indent="0" shrinkToFit="false"/>
      <protection locked="true" hidden="false"/>
    </xf>
    <xf numFmtId="168" fontId="14" fillId="13" borderId="1" xfId="0" applyFont="true" applyBorder="true" applyAlignment="true" applyProtection="false">
      <alignment horizontal="center" vertical="center" textRotation="0" wrapText="false" indent="0" shrinkToFit="false"/>
      <protection locked="true" hidden="false"/>
    </xf>
    <xf numFmtId="169" fontId="15" fillId="5" borderId="1" xfId="0" applyFont="true" applyBorder="true" applyAlignment="true" applyProtection="false">
      <alignment horizontal="center" vertical="center" textRotation="0" wrapText="false" indent="0" shrinkToFit="false"/>
      <protection locked="true" hidden="false"/>
    </xf>
    <xf numFmtId="169" fontId="14" fillId="13" borderId="1" xfId="0" applyFont="true" applyBorder="true" applyAlignment="true" applyProtection="false">
      <alignment horizontal="center" vertical="center" textRotation="0" wrapText="false" indent="0" shrinkToFit="false"/>
      <protection locked="true" hidden="false"/>
    </xf>
    <xf numFmtId="166" fontId="15" fillId="5" borderId="1" xfId="0" applyFont="true" applyBorder="true" applyAlignment="true" applyProtection="false">
      <alignment horizontal="center" vertical="center" textRotation="0" wrapText="false" indent="0" shrinkToFit="false"/>
      <protection locked="true" hidden="false"/>
    </xf>
    <xf numFmtId="170" fontId="15" fillId="5" borderId="1" xfId="0" applyFont="true" applyBorder="true" applyAlignment="true" applyProtection="false">
      <alignment horizontal="center" vertical="center" textRotation="0" wrapText="false" indent="0" shrinkToFit="false"/>
      <protection locked="true" hidden="false"/>
    </xf>
    <xf numFmtId="171" fontId="15" fillId="5"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72" fontId="14" fillId="13"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5" fontId="16" fillId="0" borderId="1" xfId="0" applyFont="true" applyBorder="true" applyAlignment="true" applyProtection="false">
      <alignment horizontal="center" vertical="center" textRotation="0" wrapText="false" indent="0" shrinkToFit="false"/>
      <protection locked="true" hidden="false"/>
    </xf>
    <xf numFmtId="166" fontId="16" fillId="0" borderId="1" xfId="0" applyFont="true" applyBorder="true" applyAlignment="true" applyProtection="false">
      <alignment horizontal="center" vertical="center" textRotation="0" wrapText="false" indent="0" shrinkToFit="false"/>
      <protection locked="true" hidden="false"/>
    </xf>
    <xf numFmtId="167" fontId="17" fillId="5" borderId="1" xfId="0" applyFont="true" applyBorder="true" applyAlignment="true" applyProtection="false">
      <alignment horizontal="center" vertical="center" textRotation="0" wrapText="false" indent="0" shrinkToFit="false"/>
      <protection locked="true" hidden="false"/>
    </xf>
    <xf numFmtId="168" fontId="16" fillId="0" borderId="1" xfId="0" applyFont="true" applyBorder="true" applyAlignment="true" applyProtection="false">
      <alignment horizontal="center" vertical="center" textRotation="0" wrapText="false" indent="0" shrinkToFit="false"/>
      <protection locked="true" hidden="false"/>
    </xf>
    <xf numFmtId="169" fontId="17" fillId="5" borderId="1" xfId="0" applyFont="true" applyBorder="true" applyAlignment="true" applyProtection="false">
      <alignment horizontal="center" vertical="center" textRotation="0" wrapText="false" indent="0" shrinkToFit="false"/>
      <protection locked="true" hidden="false"/>
    </xf>
    <xf numFmtId="169" fontId="16" fillId="0" borderId="1" xfId="0" applyFont="true" applyBorder="true" applyAlignment="true" applyProtection="false">
      <alignment horizontal="center" vertical="center" textRotation="0" wrapText="false" indent="0" shrinkToFit="false"/>
      <protection locked="true" hidden="false"/>
    </xf>
    <xf numFmtId="166" fontId="17" fillId="5" borderId="1" xfId="0" applyFont="true" applyBorder="true" applyAlignment="true" applyProtection="false">
      <alignment horizontal="center" vertical="center" textRotation="0" wrapText="false" indent="0" shrinkToFit="false"/>
      <protection locked="true" hidden="false"/>
    </xf>
    <xf numFmtId="170" fontId="17" fillId="5" borderId="1" xfId="0" applyFont="true" applyBorder="true" applyAlignment="true" applyProtection="false">
      <alignment horizontal="center" vertical="center" textRotation="0" wrapText="false" indent="0" shrinkToFit="false"/>
      <protection locked="true" hidden="false"/>
    </xf>
    <xf numFmtId="171" fontId="17" fillId="5" borderId="1" xfId="0" applyFont="true" applyBorder="true" applyAlignment="true" applyProtection="false">
      <alignment horizontal="center" vertical="center" textRotation="0" wrapText="false" indent="0" shrinkToFit="false"/>
      <protection locked="true" hidden="false"/>
    </xf>
    <xf numFmtId="164" fontId="17" fillId="5" borderId="1" xfId="0" applyFont="true" applyBorder="true" applyAlignment="true" applyProtection="false">
      <alignment horizontal="center" vertical="center" textRotation="0" wrapText="false" indent="0" shrinkToFit="false"/>
      <protection locked="true" hidden="false"/>
    </xf>
    <xf numFmtId="172" fontId="16" fillId="0" borderId="1"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9" fillId="8"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center" vertical="top" textRotation="0" wrapText="fals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19" fillId="9" borderId="0"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9" fontId="23" fillId="14" borderId="1" xfId="0" applyFont="true" applyBorder="true" applyAlignment="true" applyProtection="false">
      <alignment horizontal="center" vertical="top" textRotation="0" wrapText="true" indent="0" shrinkToFit="false"/>
      <protection locked="true" hidden="false"/>
    </xf>
    <xf numFmtId="164" fontId="24" fillId="4"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xf numFmtId="164" fontId="24" fillId="15" borderId="1" xfId="0" applyFont="true" applyBorder="true" applyAlignment="true" applyProtection="false">
      <alignment horizontal="center" vertical="center" textRotation="0" wrapText="false" indent="0" shrinkToFit="false"/>
      <protection locked="true" hidden="false"/>
    </xf>
    <xf numFmtId="164" fontId="24" fillId="16" borderId="1" xfId="0" applyFont="true" applyBorder="true" applyAlignment="true" applyProtection="false">
      <alignment horizontal="center" vertical="center" textRotation="0" wrapText="false" indent="0" shrinkToFit="false"/>
      <protection locked="true" hidden="false"/>
    </xf>
    <xf numFmtId="164" fontId="24" fillId="17" borderId="1" xfId="0" applyFont="true" applyBorder="true" applyAlignment="true" applyProtection="false">
      <alignment horizontal="center" vertical="center" textRotation="0" wrapText="false" indent="0" shrinkToFit="false"/>
      <protection locked="true" hidden="false"/>
    </xf>
    <xf numFmtId="164" fontId="24" fillId="18" borderId="1" xfId="0" applyFont="true" applyBorder="true" applyAlignment="true" applyProtection="false">
      <alignment horizontal="center" vertical="center" textRotation="0" wrapText="false" indent="0" shrinkToFit="false"/>
      <protection locked="true" hidden="false"/>
    </xf>
    <xf numFmtId="164" fontId="24" fillId="19" borderId="1"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6" fillId="0" borderId="0" xfId="0" applyFont="true" applyBorder="true" applyAlignment="true" applyProtection="false">
      <alignment horizontal="general" vertical="top" textRotation="0" wrapText="true" indent="0" shrinkToFit="false"/>
      <protection locked="true" hidden="false"/>
    </xf>
    <xf numFmtId="164" fontId="19" fillId="2" borderId="0" xfId="0" applyFont="true" applyBorder="true" applyAlignment="false" applyProtection="false">
      <alignment horizontal="general" vertical="bottom" textRotation="0" wrapText="false" indent="0" shrinkToFit="false"/>
      <protection locked="true" hidden="false"/>
    </xf>
    <xf numFmtId="164" fontId="21" fillId="14"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27" fillId="0" borderId="0" xfId="0" applyFont="true" applyBorder="true" applyAlignment="false" applyProtection="false">
      <alignment horizontal="general" vertical="bottom" textRotation="0" wrapText="false" indent="0" shrinkToFit="false"/>
      <protection locked="true" hidden="false"/>
    </xf>
    <xf numFmtId="164" fontId="5" fillId="8" borderId="0"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5" fillId="6" borderId="0" xfId="0" applyFont="true" applyBorder="true" applyAlignment="true" applyProtection="false">
      <alignment horizontal="left" vertical="center" textRotation="0" wrapText="false" indent="0" shrinkToFit="false"/>
      <protection locked="true" hidden="false"/>
    </xf>
    <xf numFmtId="164" fontId="5" fillId="7" borderId="0" xfId="0" applyFont="true" applyBorder="true" applyAlignment="true" applyProtection="false">
      <alignment horizontal="left" vertical="center" textRotation="0" wrapText="false" indent="0" shrinkToFit="false"/>
      <protection locked="true" hidden="false"/>
    </xf>
    <xf numFmtId="164" fontId="5" fillId="10" borderId="0" xfId="0" applyFont="true" applyBorder="true" applyAlignment="true" applyProtection="false">
      <alignment horizontal="left" vertical="center" textRotation="0" wrapText="false" indent="0" shrinkToFit="false"/>
      <protection locked="true" hidden="false"/>
    </xf>
    <xf numFmtId="164" fontId="5" fillId="11" borderId="0" xfId="0" applyFont="true" applyBorder="true" applyAlignment="true" applyProtection="false">
      <alignment horizontal="left" vertical="center" textRotation="0" wrapText="false" indent="0" shrinkToFit="false"/>
      <protection locked="true" hidden="false"/>
    </xf>
    <xf numFmtId="164" fontId="5" fillId="12"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fill>
        <patternFill patternType="solid">
          <fgColor rgb="FF1F3864"/>
          <bgColor rgb="FF000000"/>
        </patternFill>
      </fill>
    </dxf>
    <dxf>
      <fill>
        <patternFill patternType="solid">
          <fgColor rgb="FFFFF9E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548235"/>
          <bgColor rgb="FF000000"/>
        </patternFill>
      </fill>
    </dxf>
    <dxf>
      <fill>
        <patternFill patternType="solid">
          <fgColor rgb="FFBF8F00"/>
          <bgColor rgb="FF000000"/>
        </patternFill>
      </fill>
    </dxf>
    <dxf>
      <fill>
        <patternFill patternType="solid">
          <fgColor rgb="FFE2EFDA"/>
          <bgColor rgb="FF000000"/>
        </patternFill>
      </fill>
    </dxf>
    <dxf>
      <fill>
        <patternFill patternType="solid">
          <fgColor rgb="FFC00000"/>
          <bgColor rgb="FF000000"/>
        </patternFill>
      </fill>
    </dxf>
    <dxf>
      <fill>
        <patternFill patternType="solid">
          <fgColor rgb="FF833C0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BDD7EE"/>
          <bgColor rgb="FF000000"/>
        </patternFill>
      </fill>
    </dxf>
    <dxf>
      <fill>
        <patternFill patternType="solid">
          <fgColor rgb="FFFFEB9C"/>
          <bgColor rgb="FF000000"/>
        </patternFill>
      </fill>
    </dxf>
    <dxf>
      <fill>
        <patternFill patternType="solid">
          <fgColor rgb="FF9C6500"/>
          <bgColor rgb="FF000000"/>
        </patternFill>
      </fill>
    </dxf>
    <dxf>
      <fill>
        <patternFill patternType="solid">
          <fgColor rgb="FF7030A0"/>
          <bgColor rgb="FF000000"/>
        </patternFill>
      </fill>
    </dxf>
    <dxf>
      <fill>
        <patternFill patternType="solid">
          <fgColor rgb="FF00706C"/>
          <bgColor rgb="FF000000"/>
        </patternFill>
      </fill>
    </dxf>
    <dxf>
      <fill>
        <patternFill patternType="solid">
          <fgColor rgb="FF404040"/>
          <bgColor rgb="FF000000"/>
        </patternFill>
      </fill>
    </dxf>
    <dxf>
      <font>
        <b val="1"/>
        <color rgb="FF9C0006"/>
      </font>
      <fill>
        <patternFill>
          <bgColor rgb="FFFFC7CE"/>
        </patternFill>
      </fill>
    </dxf>
    <dxf>
      <font>
        <b val="1"/>
        <color rgb="FFFFFFFF"/>
      </font>
      <fill>
        <patternFill>
          <bgColor rgb="FFC00000"/>
        </patternFill>
      </fill>
    </dxf>
    <dxf>
      <font>
        <b val="1"/>
        <color rgb="FF7B0000"/>
      </font>
      <fill>
        <patternFill>
          <bgColor rgb="FFFF7C8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1F3864"/>
      </font>
      <fill>
        <patternFill>
          <bgColor rgb="FFBDD7EE"/>
        </patternFill>
      </fill>
    </dxf>
  </dxfs>
  <colors>
    <indexedColors>
      <rgbColor rgb="FF000000"/>
      <rgbColor rgb="FFFFFFFF"/>
      <rgbColor rgb="FFC00000"/>
      <rgbColor rgb="FF00FF00"/>
      <rgbColor rgb="FF0000FF"/>
      <rgbColor rgb="FFFFFF00"/>
      <rgbColor rgb="FFFF00FF"/>
      <rgbColor rgb="FF00FFFF"/>
      <rgbColor rgb="FF7B0000"/>
      <rgbColor rgb="FF006100"/>
      <rgbColor rgb="FF000080"/>
      <rgbColor rgb="FF9C6500"/>
      <rgbColor rgb="FF800080"/>
      <rgbColor rgb="FF00706C"/>
      <rgbColor rgb="FFBFBFBF"/>
      <rgbColor rgb="FF808080"/>
      <rgbColor rgb="FF9999FF"/>
      <rgbColor rgb="FF7030A0"/>
      <rgbColor rgb="FFFFF9E6"/>
      <rgbColor rgb="FFE2EFDA"/>
      <rgbColor rgb="FF660066"/>
      <rgbColor rgb="FFFF7C80"/>
      <rgbColor rgb="FF0066CC"/>
      <rgbColor rgb="FFBDD7EE"/>
      <rgbColor rgb="FF000080"/>
      <rgbColor rgb="FFFF00FF"/>
      <rgbColor rgb="FFFFFF00"/>
      <rgbColor rgb="FF00FFFF"/>
      <rgbColor rgb="FF800080"/>
      <rgbColor rgb="FF9C0006"/>
      <rgbColor rgb="FF008080"/>
      <rgbColor rgb="FF0000FF"/>
      <rgbColor rgb="FF00CCFF"/>
      <rgbColor rgb="FFD9D9D9"/>
      <rgbColor rgb="FFC6EFCE"/>
      <rgbColor rgb="FFFFEB9C"/>
      <rgbColor rgb="FFFFF2CC"/>
      <rgbColor rgb="FFFF99CC"/>
      <rgbColor rgb="FFCC99FF"/>
      <rgbColor rgb="FFFFC7CE"/>
      <rgbColor rgb="FF2E75B6"/>
      <rgbColor rgb="FF33CCCC"/>
      <rgbColor rgb="FF99CC00"/>
      <rgbColor rgb="FFFFCC00"/>
      <rgbColor rgb="FFBF8F00"/>
      <rgbColor rgb="FFFF6600"/>
      <rgbColor rgb="FF666699"/>
      <rgbColor rgb="FF969696"/>
      <rgbColor rgb="FF1F3864"/>
      <rgbColor rgb="FF548235"/>
      <rgbColor rgb="FF003300"/>
      <rgbColor rgb="FF333300"/>
      <rgbColor rgb="FF833C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9"/>
    <col collapsed="false" customWidth="true" hidden="false" outlineLevel="0" max="4" min="4" style="0" width="11"/>
    <col collapsed="false" customWidth="true" hidden="false" outlineLevel="0" max="5" min="5" style="0" width="96"/>
  </cols>
  <sheetData>
    <row r="1" customFormat="false" ht="30" hidden="false" customHeight="true" outlineLevel="0" collapsed="false">
      <c r="A1" s="1" t="s">
        <v>0</v>
      </c>
      <c r="B1" s="1"/>
      <c r="C1" s="1"/>
      <c r="D1" s="1"/>
      <c r="E1" s="1"/>
    </row>
    <row r="3" customFormat="false" ht="19.5" hidden="false" customHeight="true" outlineLevel="0" collapsed="false">
      <c r="A3" s="2" t="s">
        <v>1</v>
      </c>
      <c r="B3" s="2"/>
      <c r="C3" s="2"/>
      <c r="D3" s="2"/>
      <c r="E3" s="2"/>
    </row>
    <row r="4" customFormat="false" ht="13.5" hidden="false" customHeight="true" outlineLevel="0" collapsed="false">
      <c r="A4" s="3" t="s">
        <v>2</v>
      </c>
      <c r="B4" s="4" t="s">
        <v>3</v>
      </c>
      <c r="C4" s="4"/>
      <c r="D4" s="4"/>
      <c r="E4" s="4"/>
    </row>
    <row r="5" customFormat="false" ht="27" hidden="false" customHeight="true" outlineLevel="0" collapsed="false">
      <c r="A5" s="3" t="s">
        <v>4</v>
      </c>
      <c r="B5" s="4" t="s">
        <v>5</v>
      </c>
      <c r="C5" s="4"/>
      <c r="D5" s="4"/>
      <c r="E5" s="4"/>
    </row>
    <row r="6" customFormat="false" ht="13.5" hidden="false" customHeight="true" outlineLevel="0" collapsed="false">
      <c r="A6" s="3" t="s">
        <v>6</v>
      </c>
      <c r="B6" s="4" t="s">
        <v>7</v>
      </c>
      <c r="C6" s="4"/>
      <c r="D6" s="4"/>
      <c r="E6" s="4"/>
    </row>
    <row r="7" customFormat="false" ht="13.5" hidden="false" customHeight="true" outlineLevel="0" collapsed="false">
      <c r="A7" s="3" t="s">
        <v>8</v>
      </c>
      <c r="B7" s="4" t="s">
        <v>9</v>
      </c>
      <c r="C7" s="4"/>
      <c r="D7" s="4"/>
      <c r="E7" s="4"/>
    </row>
    <row r="8" customFormat="false" ht="27" hidden="false" customHeight="true" outlineLevel="0" collapsed="false">
      <c r="A8" s="3" t="s">
        <v>10</v>
      </c>
      <c r="B8" s="4" t="s">
        <v>11</v>
      </c>
      <c r="C8" s="4"/>
      <c r="D8" s="4"/>
      <c r="E8" s="4"/>
    </row>
    <row r="9" customFormat="false" ht="27" hidden="false" customHeight="true" outlineLevel="0" collapsed="false">
      <c r="A9" s="3" t="s">
        <v>12</v>
      </c>
      <c r="B9" s="4" t="s">
        <v>13</v>
      </c>
      <c r="C9" s="4"/>
      <c r="D9" s="4"/>
      <c r="E9" s="4"/>
    </row>
    <row r="10" customFormat="false" ht="27" hidden="false" customHeight="true" outlineLevel="0" collapsed="false">
      <c r="A10" s="3" t="s">
        <v>14</v>
      </c>
      <c r="B10" s="4" t="s">
        <v>15</v>
      </c>
      <c r="C10" s="4"/>
      <c r="D10" s="4"/>
      <c r="E10" s="4"/>
    </row>
    <row r="11" customFormat="false" ht="6.75" hidden="false" customHeight="true" outlineLevel="0" collapsed="false"/>
    <row r="12" customFormat="false" ht="19.5" hidden="false" customHeight="true" outlineLevel="0" collapsed="false">
      <c r="A12" s="2" t="s">
        <v>16</v>
      </c>
      <c r="B12" s="2"/>
      <c r="C12" s="2"/>
      <c r="D12" s="2"/>
      <c r="E12" s="2"/>
    </row>
    <row r="13" customFormat="false" ht="27" hidden="false" customHeight="true" outlineLevel="0" collapsed="false">
      <c r="A13" s="3" t="s">
        <v>17</v>
      </c>
      <c r="B13" s="4" t="s">
        <v>18</v>
      </c>
      <c r="C13" s="4"/>
      <c r="D13" s="4"/>
      <c r="E13" s="4"/>
    </row>
    <row r="14" customFormat="false" ht="27" hidden="false" customHeight="true" outlineLevel="0" collapsed="false">
      <c r="A14" s="3" t="s">
        <v>19</v>
      </c>
      <c r="B14" s="4" t="s">
        <v>20</v>
      </c>
      <c r="C14" s="4"/>
      <c r="D14" s="4"/>
      <c r="E14" s="4"/>
    </row>
    <row r="15" customFormat="false" ht="27" hidden="false" customHeight="true" outlineLevel="0" collapsed="false">
      <c r="A15" s="3" t="s">
        <v>21</v>
      </c>
      <c r="B15" s="4" t="s">
        <v>22</v>
      </c>
      <c r="C15" s="4"/>
      <c r="D15" s="4"/>
      <c r="E15" s="4"/>
    </row>
    <row r="16" customFormat="false" ht="13.5" hidden="false" customHeight="true" outlineLevel="0" collapsed="false">
      <c r="A16" s="3" t="s">
        <v>23</v>
      </c>
      <c r="B16" s="4" t="s">
        <v>24</v>
      </c>
      <c r="C16" s="4"/>
      <c r="D16" s="4"/>
      <c r="E16" s="4"/>
    </row>
    <row r="17" customFormat="false" ht="6.75" hidden="false" customHeight="true" outlineLevel="0" collapsed="false"/>
    <row r="18" customFormat="false" ht="19.5" hidden="false" customHeight="true" outlineLevel="0" collapsed="false">
      <c r="A18" s="2" t="s">
        <v>25</v>
      </c>
      <c r="B18" s="2"/>
      <c r="C18" s="2"/>
      <c r="D18" s="2"/>
      <c r="E18" s="2"/>
    </row>
    <row r="19" customFormat="false" ht="27" hidden="false" customHeight="true" outlineLevel="0" collapsed="false">
      <c r="A19" s="3" t="s">
        <v>26</v>
      </c>
      <c r="B19" s="4" t="s">
        <v>27</v>
      </c>
      <c r="C19" s="4"/>
      <c r="D19" s="4"/>
      <c r="E19" s="4"/>
    </row>
    <row r="20" customFormat="false" ht="13.5" hidden="false" customHeight="true" outlineLevel="0" collapsed="false">
      <c r="A20" s="3" t="s">
        <v>28</v>
      </c>
      <c r="B20" s="4" t="s">
        <v>29</v>
      </c>
      <c r="C20" s="4"/>
      <c r="D20" s="4"/>
      <c r="E20" s="4"/>
    </row>
    <row r="21" customFormat="false" ht="27" hidden="false" customHeight="true" outlineLevel="0" collapsed="false">
      <c r="A21" s="3" t="s">
        <v>30</v>
      </c>
      <c r="B21" s="4" t="s">
        <v>31</v>
      </c>
      <c r="C21" s="4"/>
      <c r="D21" s="4"/>
      <c r="E21" s="4"/>
    </row>
    <row r="22" customFormat="false" ht="27" hidden="false" customHeight="true" outlineLevel="0" collapsed="false">
      <c r="A22" s="3" t="s">
        <v>32</v>
      </c>
      <c r="B22" s="4" t="s">
        <v>33</v>
      </c>
      <c r="C22" s="4"/>
      <c r="D22" s="4"/>
      <c r="E22" s="4"/>
    </row>
    <row r="23" customFormat="false" ht="13.5" hidden="false" customHeight="true" outlineLevel="0" collapsed="false">
      <c r="A23" s="3" t="s">
        <v>34</v>
      </c>
      <c r="B23" s="4" t="s">
        <v>35</v>
      </c>
      <c r="C23" s="4"/>
      <c r="D23" s="4"/>
      <c r="E23" s="4"/>
    </row>
    <row r="24" customFormat="false" ht="13.5" hidden="false" customHeight="true" outlineLevel="0" collapsed="false">
      <c r="A24" s="3" t="s">
        <v>36</v>
      </c>
      <c r="B24" s="4" t="s">
        <v>37</v>
      </c>
      <c r="C24" s="4"/>
      <c r="D24" s="4"/>
      <c r="E24" s="4"/>
    </row>
    <row r="25" customFormat="false" ht="6.75" hidden="false" customHeight="true" outlineLevel="0" collapsed="false"/>
    <row r="26" customFormat="false" ht="54" hidden="false" customHeight="true" outlineLevel="0" collapsed="false">
      <c r="A26" s="3" t="s">
        <v>38</v>
      </c>
      <c r="B26" s="4" t="s">
        <v>39</v>
      </c>
      <c r="C26" s="4"/>
      <c r="D26" s="4"/>
      <c r="E26" s="4"/>
    </row>
    <row r="27" customFormat="false" ht="27" hidden="false" customHeight="true" outlineLevel="0" collapsed="false">
      <c r="A27" s="3" t="s">
        <v>40</v>
      </c>
      <c r="B27" s="4" t="s">
        <v>41</v>
      </c>
      <c r="C27" s="4"/>
      <c r="D27" s="4"/>
      <c r="E27" s="4"/>
    </row>
    <row r="28" customFormat="false" ht="27" hidden="false" customHeight="true" outlineLevel="0" collapsed="false">
      <c r="A28" s="3" t="s">
        <v>42</v>
      </c>
      <c r="B28" s="4" t="s">
        <v>43</v>
      </c>
      <c r="C28" s="4"/>
      <c r="D28" s="4"/>
      <c r="E28" s="4"/>
    </row>
    <row r="30" customFormat="false" ht="16.15" hidden="false" customHeight="false" outlineLevel="0" collapsed="false">
      <c r="A30" s="5" t="s">
        <v>44</v>
      </c>
      <c r="B30" s="5"/>
      <c r="C30" s="5"/>
      <c r="D30" s="5"/>
      <c r="E30" s="5"/>
    </row>
    <row r="31" customFormat="false" ht="15" hidden="false" customHeight="false" outlineLevel="0" collapsed="false">
      <c r="A31" s="6" t="s">
        <v>45</v>
      </c>
      <c r="B31" s="6" t="s">
        <v>46</v>
      </c>
      <c r="C31" s="6" t="s">
        <v>47</v>
      </c>
      <c r="D31" s="6" t="s">
        <v>48</v>
      </c>
      <c r="E31" s="6" t="s">
        <v>49</v>
      </c>
    </row>
    <row r="32" customFormat="false" ht="21.75" hidden="false" customHeight="true" outlineLevel="0" collapsed="false">
      <c r="A32" s="7" t="s">
        <v>50</v>
      </c>
      <c r="B32" s="8" t="s">
        <v>51</v>
      </c>
      <c r="C32" s="9" t="s">
        <v>52</v>
      </c>
      <c r="D32" s="9" t="s">
        <v>53</v>
      </c>
      <c r="E32" s="7" t="s">
        <v>54</v>
      </c>
    </row>
    <row r="33" customFormat="false" ht="13.5" hidden="false" customHeight="true" outlineLevel="0" collapsed="false">
      <c r="A33" s="7" t="s">
        <v>50</v>
      </c>
      <c r="B33" s="8" t="s">
        <v>55</v>
      </c>
      <c r="C33" s="9" t="s">
        <v>56</v>
      </c>
      <c r="D33" s="9" t="s">
        <v>53</v>
      </c>
      <c r="E33" s="7" t="s">
        <v>57</v>
      </c>
    </row>
    <row r="34" customFormat="false" ht="21.75" hidden="false" customHeight="true" outlineLevel="0" collapsed="false">
      <c r="A34" s="7" t="s">
        <v>50</v>
      </c>
      <c r="B34" s="8" t="s">
        <v>58</v>
      </c>
      <c r="C34" s="9" t="s">
        <v>52</v>
      </c>
      <c r="D34" s="9" t="s">
        <v>53</v>
      </c>
      <c r="E34" s="7" t="s">
        <v>59</v>
      </c>
    </row>
    <row r="35" customFormat="false" ht="21.75" hidden="false" customHeight="true" outlineLevel="0" collapsed="false">
      <c r="A35" s="7" t="s">
        <v>50</v>
      </c>
      <c r="B35" s="8" t="s">
        <v>60</v>
      </c>
      <c r="C35" s="9" t="s">
        <v>52</v>
      </c>
      <c r="D35" s="9" t="s">
        <v>53</v>
      </c>
      <c r="E35" s="7" t="s">
        <v>61</v>
      </c>
    </row>
    <row r="36" customFormat="false" ht="21.75" hidden="false" customHeight="true" outlineLevel="0" collapsed="false">
      <c r="A36" s="7" t="s">
        <v>62</v>
      </c>
      <c r="B36" s="8" t="s">
        <v>26</v>
      </c>
      <c r="C36" s="9" t="s">
        <v>52</v>
      </c>
      <c r="D36" s="9" t="s">
        <v>63</v>
      </c>
      <c r="E36" s="7" t="s">
        <v>64</v>
      </c>
    </row>
    <row r="37" customFormat="false" ht="13.5" hidden="false" customHeight="true" outlineLevel="0" collapsed="false">
      <c r="A37" s="7" t="s">
        <v>62</v>
      </c>
      <c r="B37" s="8" t="s">
        <v>65</v>
      </c>
      <c r="C37" s="9" t="s">
        <v>52</v>
      </c>
      <c r="D37" s="9" t="s">
        <v>63</v>
      </c>
      <c r="E37" s="7" t="s">
        <v>66</v>
      </c>
    </row>
    <row r="38" customFormat="false" ht="13.5" hidden="false" customHeight="true" outlineLevel="0" collapsed="false">
      <c r="A38" s="7" t="s">
        <v>62</v>
      </c>
      <c r="B38" s="8" t="s">
        <v>67</v>
      </c>
      <c r="C38" s="9" t="s">
        <v>56</v>
      </c>
      <c r="D38" s="9" t="s">
        <v>63</v>
      </c>
      <c r="E38" s="7" t="s">
        <v>68</v>
      </c>
    </row>
    <row r="39" customFormat="false" ht="21.75" hidden="false" customHeight="true" outlineLevel="0" collapsed="false">
      <c r="A39" s="7" t="s">
        <v>62</v>
      </c>
      <c r="B39" s="8" t="s">
        <v>69</v>
      </c>
      <c r="C39" s="9" t="s">
        <v>52</v>
      </c>
      <c r="D39" s="9" t="s">
        <v>63</v>
      </c>
      <c r="E39" s="7" t="s">
        <v>70</v>
      </c>
    </row>
    <row r="40" customFormat="false" ht="21.75" hidden="false" customHeight="true" outlineLevel="0" collapsed="false">
      <c r="A40" s="7" t="s">
        <v>62</v>
      </c>
      <c r="B40" s="8" t="s">
        <v>71</v>
      </c>
      <c r="C40" s="9" t="s">
        <v>52</v>
      </c>
      <c r="D40" s="9" t="s">
        <v>63</v>
      </c>
      <c r="E40" s="7" t="s">
        <v>72</v>
      </c>
    </row>
    <row r="41" customFormat="false" ht="21.75" hidden="false" customHeight="true" outlineLevel="0" collapsed="false">
      <c r="A41" s="7" t="s">
        <v>62</v>
      </c>
      <c r="B41" s="8" t="s">
        <v>73</v>
      </c>
      <c r="C41" s="9" t="s">
        <v>52</v>
      </c>
      <c r="D41" s="9" t="s">
        <v>63</v>
      </c>
      <c r="E41" s="7" t="s">
        <v>74</v>
      </c>
    </row>
    <row r="42" customFormat="false" ht="21.75" hidden="false" customHeight="true" outlineLevel="0" collapsed="false">
      <c r="A42" s="7" t="s">
        <v>62</v>
      </c>
      <c r="B42" s="8" t="s">
        <v>75</v>
      </c>
      <c r="C42" s="9" t="s">
        <v>52</v>
      </c>
      <c r="D42" s="9" t="s">
        <v>63</v>
      </c>
      <c r="E42" s="7" t="s">
        <v>76</v>
      </c>
    </row>
    <row r="43" customFormat="false" ht="21.75" hidden="false" customHeight="true" outlineLevel="0" collapsed="false">
      <c r="A43" s="7" t="s">
        <v>62</v>
      </c>
      <c r="B43" s="8" t="s">
        <v>77</v>
      </c>
      <c r="C43" s="9" t="s">
        <v>52</v>
      </c>
      <c r="D43" s="9" t="s">
        <v>63</v>
      </c>
      <c r="E43" s="7" t="s">
        <v>78</v>
      </c>
    </row>
    <row r="44" customFormat="false" ht="33" hidden="false" customHeight="true" outlineLevel="0" collapsed="false">
      <c r="A44" s="7" t="s">
        <v>79</v>
      </c>
      <c r="B44" s="8" t="s">
        <v>80</v>
      </c>
      <c r="C44" s="9" t="s">
        <v>52</v>
      </c>
      <c r="D44" s="9" t="s">
        <v>63</v>
      </c>
      <c r="E44" s="7" t="s">
        <v>81</v>
      </c>
    </row>
    <row r="45" customFormat="false" ht="13.5" hidden="false" customHeight="true" outlineLevel="0" collapsed="false">
      <c r="A45" s="7" t="s">
        <v>79</v>
      </c>
      <c r="B45" s="8" t="s">
        <v>82</v>
      </c>
      <c r="C45" s="9" t="s">
        <v>56</v>
      </c>
      <c r="D45" s="9" t="s">
        <v>63</v>
      </c>
      <c r="E45" s="7" t="s">
        <v>83</v>
      </c>
    </row>
    <row r="46" customFormat="false" ht="21.75" hidden="false" customHeight="true" outlineLevel="0" collapsed="false">
      <c r="A46" s="7" t="s">
        <v>79</v>
      </c>
      <c r="B46" s="8" t="s">
        <v>84</v>
      </c>
      <c r="C46" s="9" t="s">
        <v>56</v>
      </c>
      <c r="D46" s="9" t="s">
        <v>53</v>
      </c>
      <c r="E46" s="7" t="s">
        <v>85</v>
      </c>
    </row>
    <row r="47" customFormat="false" ht="13.5" hidden="false" customHeight="true" outlineLevel="0" collapsed="false">
      <c r="A47" s="7" t="s">
        <v>79</v>
      </c>
      <c r="B47" s="8" t="s">
        <v>86</v>
      </c>
      <c r="C47" s="9" t="s">
        <v>56</v>
      </c>
      <c r="D47" s="9" t="s">
        <v>63</v>
      </c>
      <c r="E47" s="7" t="s">
        <v>87</v>
      </c>
    </row>
    <row r="48" customFormat="false" ht="13.5" hidden="false" customHeight="true" outlineLevel="0" collapsed="false">
      <c r="A48" s="7" t="s">
        <v>79</v>
      </c>
      <c r="B48" s="8" t="s">
        <v>88</v>
      </c>
      <c r="C48" s="9" t="s">
        <v>56</v>
      </c>
      <c r="D48" s="9" t="s">
        <v>53</v>
      </c>
      <c r="E48" s="7" t="s">
        <v>89</v>
      </c>
    </row>
    <row r="49" customFormat="false" ht="21.75" hidden="false" customHeight="true" outlineLevel="0" collapsed="false">
      <c r="A49" s="7" t="s">
        <v>79</v>
      </c>
      <c r="B49" s="8" t="s">
        <v>90</v>
      </c>
      <c r="C49" s="9" t="s">
        <v>56</v>
      </c>
      <c r="D49" s="9" t="s">
        <v>53</v>
      </c>
      <c r="E49" s="7" t="s">
        <v>91</v>
      </c>
    </row>
    <row r="50" customFormat="false" ht="13.5" hidden="false" customHeight="true" outlineLevel="0" collapsed="false">
      <c r="A50" s="7" t="s">
        <v>79</v>
      </c>
      <c r="B50" s="8" t="s">
        <v>92</v>
      </c>
      <c r="C50" s="9" t="s">
        <v>56</v>
      </c>
      <c r="D50" s="9" t="s">
        <v>53</v>
      </c>
      <c r="E50" s="7" t="s">
        <v>93</v>
      </c>
    </row>
    <row r="51" customFormat="false" ht="13.5" hidden="false" customHeight="true" outlineLevel="0" collapsed="false">
      <c r="A51" s="7" t="s">
        <v>94</v>
      </c>
      <c r="B51" s="8" t="s">
        <v>95</v>
      </c>
      <c r="C51" s="9" t="s">
        <v>56</v>
      </c>
      <c r="D51" s="9" t="s">
        <v>63</v>
      </c>
      <c r="E51" s="7" t="s">
        <v>96</v>
      </c>
    </row>
    <row r="52" customFormat="false" ht="21.75" hidden="false" customHeight="true" outlineLevel="0" collapsed="false">
      <c r="A52" s="7" t="s">
        <v>94</v>
      </c>
      <c r="B52" s="8" t="s">
        <v>97</v>
      </c>
      <c r="C52" s="9" t="s">
        <v>56</v>
      </c>
      <c r="D52" s="9" t="s">
        <v>53</v>
      </c>
      <c r="E52" s="7" t="s">
        <v>98</v>
      </c>
    </row>
    <row r="53" customFormat="false" ht="21.75" hidden="false" customHeight="true" outlineLevel="0" collapsed="false">
      <c r="A53" s="7" t="s">
        <v>94</v>
      </c>
      <c r="B53" s="8" t="s">
        <v>99</v>
      </c>
      <c r="C53" s="9" t="s">
        <v>56</v>
      </c>
      <c r="D53" s="9" t="s">
        <v>53</v>
      </c>
      <c r="E53" s="7" t="s">
        <v>100</v>
      </c>
    </row>
    <row r="54" customFormat="false" ht="21.75" hidden="false" customHeight="true" outlineLevel="0" collapsed="false">
      <c r="A54" s="10" t="s">
        <v>94</v>
      </c>
      <c r="B54" s="11" t="s">
        <v>101</v>
      </c>
      <c r="C54" s="12" t="s">
        <v>102</v>
      </c>
      <c r="D54" s="12" t="s">
        <v>103</v>
      </c>
      <c r="E54" s="10" t="s">
        <v>104</v>
      </c>
    </row>
    <row r="55" customFormat="false" ht="21.75" hidden="false" customHeight="true" outlineLevel="0" collapsed="false">
      <c r="A55" s="7" t="s">
        <v>94</v>
      </c>
      <c r="B55" s="8" t="s">
        <v>105</v>
      </c>
      <c r="C55" s="9" t="s">
        <v>56</v>
      </c>
      <c r="D55" s="9" t="s">
        <v>53</v>
      </c>
      <c r="E55" s="7" t="s">
        <v>106</v>
      </c>
    </row>
    <row r="56" customFormat="false" ht="13.5" hidden="false" customHeight="true" outlineLevel="0" collapsed="false">
      <c r="A56" s="7" t="s">
        <v>94</v>
      </c>
      <c r="B56" s="8" t="s">
        <v>107</v>
      </c>
      <c r="C56" s="9" t="s">
        <v>56</v>
      </c>
      <c r="D56" s="9" t="s">
        <v>53</v>
      </c>
      <c r="E56" s="7" t="s">
        <v>108</v>
      </c>
    </row>
    <row r="57" customFormat="false" ht="21.75" hidden="false" customHeight="true" outlineLevel="0" collapsed="false">
      <c r="A57" s="7" t="s">
        <v>94</v>
      </c>
      <c r="B57" s="8" t="s">
        <v>109</v>
      </c>
      <c r="C57" s="9" t="s">
        <v>56</v>
      </c>
      <c r="D57" s="9" t="s">
        <v>53</v>
      </c>
      <c r="E57" s="7" t="s">
        <v>110</v>
      </c>
    </row>
    <row r="58" customFormat="false" ht="13.5" hidden="false" customHeight="true" outlineLevel="0" collapsed="false">
      <c r="A58" s="7" t="s">
        <v>111</v>
      </c>
      <c r="B58" s="8" t="s">
        <v>112</v>
      </c>
      <c r="C58" s="9" t="s">
        <v>52</v>
      </c>
      <c r="D58" s="9" t="s">
        <v>63</v>
      </c>
      <c r="E58" s="7" t="s">
        <v>113</v>
      </c>
    </row>
    <row r="59" customFormat="false" ht="13.5" hidden="false" customHeight="true" outlineLevel="0" collapsed="false">
      <c r="A59" s="10" t="s">
        <v>111</v>
      </c>
      <c r="B59" s="11" t="s">
        <v>114</v>
      </c>
      <c r="C59" s="12" t="s">
        <v>102</v>
      </c>
      <c r="D59" s="12" t="s">
        <v>103</v>
      </c>
      <c r="E59" s="10" t="s">
        <v>115</v>
      </c>
    </row>
    <row r="60" customFormat="false" ht="33" hidden="false" customHeight="true" outlineLevel="0" collapsed="false">
      <c r="A60" s="7" t="s">
        <v>111</v>
      </c>
      <c r="B60" s="8" t="s">
        <v>116</v>
      </c>
      <c r="C60" s="9" t="s">
        <v>56</v>
      </c>
      <c r="D60" s="9" t="s">
        <v>53</v>
      </c>
      <c r="E60" s="7" t="s">
        <v>117</v>
      </c>
    </row>
    <row r="61" customFormat="false" ht="43.5" hidden="false" customHeight="true" outlineLevel="0" collapsed="false">
      <c r="A61" s="7" t="s">
        <v>118</v>
      </c>
      <c r="B61" s="8" t="s">
        <v>119</v>
      </c>
      <c r="C61" s="9" t="s">
        <v>52</v>
      </c>
      <c r="D61" s="9" t="s">
        <v>63</v>
      </c>
      <c r="E61" s="7" t="s">
        <v>120</v>
      </c>
    </row>
    <row r="62" customFormat="false" ht="33" hidden="false" customHeight="true" outlineLevel="0" collapsed="false">
      <c r="A62" s="7" t="s">
        <v>118</v>
      </c>
      <c r="B62" s="8" t="s">
        <v>121</v>
      </c>
      <c r="C62" s="9" t="s">
        <v>56</v>
      </c>
      <c r="D62" s="9" t="s">
        <v>53</v>
      </c>
      <c r="E62" s="7" t="s">
        <v>122</v>
      </c>
    </row>
    <row r="63" customFormat="false" ht="21.75" hidden="false" customHeight="true" outlineLevel="0" collapsed="false">
      <c r="A63" s="10" t="s">
        <v>118</v>
      </c>
      <c r="B63" s="11" t="s">
        <v>123</v>
      </c>
      <c r="C63" s="12" t="s">
        <v>102</v>
      </c>
      <c r="D63" s="12" t="s">
        <v>103</v>
      </c>
      <c r="E63" s="10" t="s">
        <v>124</v>
      </c>
    </row>
    <row r="64" customFormat="false" ht="33" hidden="false" customHeight="true" outlineLevel="0" collapsed="false">
      <c r="A64" s="7" t="s">
        <v>118</v>
      </c>
      <c r="B64" s="8" t="s">
        <v>125</v>
      </c>
      <c r="C64" s="9" t="s">
        <v>56</v>
      </c>
      <c r="D64" s="9" t="s">
        <v>53</v>
      </c>
      <c r="E64" s="7" t="s">
        <v>126</v>
      </c>
    </row>
    <row r="65" customFormat="false" ht="21.75" hidden="false" customHeight="true" outlineLevel="0" collapsed="false">
      <c r="A65" s="10" t="s">
        <v>118</v>
      </c>
      <c r="B65" s="11" t="s">
        <v>127</v>
      </c>
      <c r="C65" s="12" t="s">
        <v>102</v>
      </c>
      <c r="D65" s="12" t="s">
        <v>103</v>
      </c>
      <c r="E65" s="10" t="s">
        <v>128</v>
      </c>
    </row>
    <row r="66" customFormat="false" ht="13.5" hidden="false" customHeight="true" outlineLevel="0" collapsed="false">
      <c r="A66" s="10" t="s">
        <v>118</v>
      </c>
      <c r="B66" s="11" t="s">
        <v>129</v>
      </c>
      <c r="C66" s="12" t="s">
        <v>102</v>
      </c>
      <c r="D66" s="12" t="s">
        <v>103</v>
      </c>
      <c r="E66" s="10" t="s">
        <v>130</v>
      </c>
    </row>
    <row r="67" customFormat="false" ht="21.75" hidden="false" customHeight="true" outlineLevel="0" collapsed="false">
      <c r="A67" s="10" t="s">
        <v>118</v>
      </c>
      <c r="B67" s="11" t="s">
        <v>131</v>
      </c>
      <c r="C67" s="12" t="s">
        <v>102</v>
      </c>
      <c r="D67" s="12" t="s">
        <v>103</v>
      </c>
      <c r="E67" s="10" t="s">
        <v>132</v>
      </c>
    </row>
    <row r="68" customFormat="false" ht="21.75" hidden="false" customHeight="true" outlineLevel="0" collapsed="false">
      <c r="A68" s="10" t="s">
        <v>118</v>
      </c>
      <c r="B68" s="11" t="s">
        <v>133</v>
      </c>
      <c r="C68" s="12" t="s">
        <v>102</v>
      </c>
      <c r="D68" s="12" t="s">
        <v>103</v>
      </c>
      <c r="E68" s="10" t="s">
        <v>134</v>
      </c>
    </row>
    <row r="69" customFormat="false" ht="21.75" hidden="false" customHeight="true" outlineLevel="0" collapsed="false">
      <c r="A69" s="10" t="s">
        <v>118</v>
      </c>
      <c r="B69" s="11" t="s">
        <v>135</v>
      </c>
      <c r="C69" s="12" t="s">
        <v>102</v>
      </c>
      <c r="D69" s="12" t="s">
        <v>103</v>
      </c>
      <c r="E69" s="10" t="s">
        <v>136</v>
      </c>
    </row>
    <row r="70" customFormat="false" ht="21.75" hidden="false" customHeight="true" outlineLevel="0" collapsed="false">
      <c r="A70" s="10" t="s">
        <v>118</v>
      </c>
      <c r="B70" s="11" t="s">
        <v>137</v>
      </c>
      <c r="C70" s="12" t="s">
        <v>102</v>
      </c>
      <c r="D70" s="12" t="s">
        <v>103</v>
      </c>
      <c r="E70" s="10" t="s">
        <v>138</v>
      </c>
    </row>
    <row r="71" customFormat="false" ht="21.75" hidden="false" customHeight="true" outlineLevel="0" collapsed="false">
      <c r="A71" s="7" t="s">
        <v>139</v>
      </c>
      <c r="B71" s="8" t="s">
        <v>140</v>
      </c>
      <c r="C71" s="9" t="s">
        <v>52</v>
      </c>
      <c r="D71" s="9" t="s">
        <v>63</v>
      </c>
      <c r="E71" s="7" t="s">
        <v>141</v>
      </c>
    </row>
    <row r="72" customFormat="false" ht="21.75" hidden="false" customHeight="true" outlineLevel="0" collapsed="false">
      <c r="A72" s="7" t="s">
        <v>139</v>
      </c>
      <c r="B72" s="8" t="s">
        <v>142</v>
      </c>
      <c r="C72" s="9" t="s">
        <v>52</v>
      </c>
      <c r="D72" s="9" t="s">
        <v>63</v>
      </c>
      <c r="E72" s="7" t="s">
        <v>143</v>
      </c>
    </row>
    <row r="73" customFormat="false" ht="13.5" hidden="false" customHeight="true" outlineLevel="0" collapsed="false">
      <c r="A73" s="7" t="s">
        <v>139</v>
      </c>
      <c r="B73" s="8" t="s">
        <v>144</v>
      </c>
      <c r="C73" s="9" t="s">
        <v>56</v>
      </c>
      <c r="D73" s="9" t="s">
        <v>53</v>
      </c>
      <c r="E73" s="7" t="s">
        <v>145</v>
      </c>
    </row>
    <row r="74" customFormat="false" ht="13.5" hidden="false" customHeight="true" outlineLevel="0" collapsed="false">
      <c r="A74" s="7" t="s">
        <v>139</v>
      </c>
      <c r="B74" s="8" t="s">
        <v>146</v>
      </c>
      <c r="C74" s="9" t="s">
        <v>56</v>
      </c>
      <c r="D74" s="9" t="s">
        <v>53</v>
      </c>
      <c r="E74" s="7" t="s">
        <v>147</v>
      </c>
    </row>
    <row r="75" customFormat="false" ht="21.75" hidden="false" customHeight="true" outlineLevel="0" collapsed="false">
      <c r="A75" s="7" t="s">
        <v>139</v>
      </c>
      <c r="B75" s="8" t="s">
        <v>148</v>
      </c>
      <c r="C75" s="9" t="s">
        <v>56</v>
      </c>
      <c r="D75" s="9" t="s">
        <v>53</v>
      </c>
      <c r="E75" s="7" t="s">
        <v>149</v>
      </c>
    </row>
    <row r="76" customFormat="false" ht="21.75" hidden="false" customHeight="true" outlineLevel="0" collapsed="false">
      <c r="A76" s="7" t="s">
        <v>139</v>
      </c>
      <c r="B76" s="8" t="s">
        <v>150</v>
      </c>
      <c r="C76" s="9" t="s">
        <v>56</v>
      </c>
      <c r="D76" s="9" t="s">
        <v>63</v>
      </c>
      <c r="E76" s="7" t="s">
        <v>151</v>
      </c>
    </row>
    <row r="77" customFormat="false" ht="21.75" hidden="false" customHeight="true" outlineLevel="0" collapsed="false">
      <c r="A77" s="7" t="s">
        <v>139</v>
      </c>
      <c r="B77" s="8" t="s">
        <v>152</v>
      </c>
      <c r="C77" s="9" t="s">
        <v>56</v>
      </c>
      <c r="D77" s="9" t="s">
        <v>63</v>
      </c>
      <c r="E77" s="7" t="s">
        <v>153</v>
      </c>
    </row>
    <row r="78" customFormat="false" ht="21.75" hidden="false" customHeight="true" outlineLevel="0" collapsed="false">
      <c r="A78" s="7" t="s">
        <v>154</v>
      </c>
      <c r="B78" s="8" t="s">
        <v>155</v>
      </c>
      <c r="C78" s="9" t="s">
        <v>52</v>
      </c>
      <c r="D78" s="9" t="s">
        <v>63</v>
      </c>
      <c r="E78" s="7" t="s">
        <v>156</v>
      </c>
    </row>
    <row r="79" customFormat="false" ht="21.75" hidden="false" customHeight="true" outlineLevel="0" collapsed="false">
      <c r="A79" s="7" t="s">
        <v>154</v>
      </c>
      <c r="B79" s="8" t="s">
        <v>157</v>
      </c>
      <c r="C79" s="9" t="s">
        <v>56</v>
      </c>
      <c r="D79" s="9" t="s">
        <v>53</v>
      </c>
      <c r="E79" s="7" t="s">
        <v>158</v>
      </c>
    </row>
    <row r="80" customFormat="false" ht="21.75" hidden="false" customHeight="true" outlineLevel="0" collapsed="false">
      <c r="A80" s="7" t="s">
        <v>154</v>
      </c>
      <c r="B80" s="8" t="s">
        <v>159</v>
      </c>
      <c r="C80" s="9" t="s">
        <v>52</v>
      </c>
      <c r="D80" s="9" t="s">
        <v>63</v>
      </c>
      <c r="E80" s="7" t="s">
        <v>160</v>
      </c>
    </row>
    <row r="81" customFormat="false" ht="33" hidden="false" customHeight="true" outlineLevel="0" collapsed="false">
      <c r="A81" s="7" t="s">
        <v>154</v>
      </c>
      <c r="B81" s="8" t="s">
        <v>161</v>
      </c>
      <c r="C81" s="9" t="s">
        <v>52</v>
      </c>
      <c r="D81" s="9" t="s">
        <v>53</v>
      </c>
      <c r="E81" s="7" t="s">
        <v>162</v>
      </c>
    </row>
    <row r="82" customFormat="false" ht="21.75" hidden="false" customHeight="true" outlineLevel="0" collapsed="false">
      <c r="A82" s="7" t="s">
        <v>163</v>
      </c>
      <c r="B82" s="8" t="s">
        <v>163</v>
      </c>
      <c r="C82" s="9" t="s">
        <v>52</v>
      </c>
      <c r="D82" s="9" t="s">
        <v>63</v>
      </c>
      <c r="E82" s="7" t="s">
        <v>164</v>
      </c>
    </row>
    <row r="83" customFormat="false" ht="13.5" hidden="false" customHeight="true" outlineLevel="0" collapsed="false">
      <c r="A83" s="7" t="s">
        <v>163</v>
      </c>
      <c r="B83" s="8" t="s">
        <v>165</v>
      </c>
      <c r="C83" s="9" t="s">
        <v>56</v>
      </c>
      <c r="D83" s="9" t="s">
        <v>166</v>
      </c>
      <c r="E83" s="7" t="s">
        <v>167</v>
      </c>
    </row>
    <row r="84" customFormat="false" ht="21.75" hidden="false" customHeight="true" outlineLevel="0" collapsed="false">
      <c r="A84" s="7" t="s">
        <v>163</v>
      </c>
      <c r="B84" s="8" t="s">
        <v>168</v>
      </c>
      <c r="C84" s="9" t="s">
        <v>56</v>
      </c>
      <c r="D84" s="9" t="s">
        <v>53</v>
      </c>
      <c r="E84" s="7" t="s">
        <v>169</v>
      </c>
    </row>
  </sheetData>
  <mergeCells count="25">
    <mergeCell ref="A1:E1"/>
    <mergeCell ref="A3:E3"/>
    <mergeCell ref="B4:E4"/>
    <mergeCell ref="B5:E5"/>
    <mergeCell ref="B6:E6"/>
    <mergeCell ref="B7:E7"/>
    <mergeCell ref="B8:E8"/>
    <mergeCell ref="B9:E9"/>
    <mergeCell ref="B10:E10"/>
    <mergeCell ref="A12:E12"/>
    <mergeCell ref="B13:E13"/>
    <mergeCell ref="B14:E14"/>
    <mergeCell ref="B15:E15"/>
    <mergeCell ref="B16:E16"/>
    <mergeCell ref="A18:E18"/>
    <mergeCell ref="B19:E19"/>
    <mergeCell ref="B20:E20"/>
    <mergeCell ref="B21:E21"/>
    <mergeCell ref="B22:E22"/>
    <mergeCell ref="B23:E23"/>
    <mergeCell ref="B24:E24"/>
    <mergeCell ref="B26:E26"/>
    <mergeCell ref="B27:E27"/>
    <mergeCell ref="B28:E28"/>
    <mergeCell ref="A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3" min="3" style="0" width="30"/>
    <col collapsed="false" customWidth="true" hidden="false" outlineLevel="0" max="4" min="4" style="0" width="42"/>
    <col collapsed="false" customWidth="true" hidden="false" outlineLevel="0" max="5" min="5" style="0" width="14"/>
    <col collapsed="false" customWidth="true" hidden="false" outlineLevel="0" max="6" min="6" style="0" width="22"/>
    <col collapsed="false" customWidth="true" hidden="false" outlineLevel="0" max="7" min="7" style="0" width="20"/>
    <col collapsed="false" customWidth="true" hidden="false" outlineLevel="0" max="8" min="8" style="0" width="19"/>
    <col collapsed="false" customWidth="true" hidden="false" outlineLevel="0" max="10" min="9" style="0" width="13"/>
    <col collapsed="false" customWidth="true" hidden="false" outlineLevel="0" max="11" min="11" style="0" width="12"/>
    <col collapsed="false" customWidth="true" hidden="false" outlineLevel="0" max="12" min="12" style="0" width="13"/>
    <col collapsed="false" customWidth="true" hidden="false" outlineLevel="0" max="13" min="13" style="0" width="14"/>
    <col collapsed="false" customWidth="true" hidden="false" outlineLevel="0" max="14" min="14" style="0" width="12"/>
    <col collapsed="false" customWidth="true" hidden="false" outlineLevel="0" max="15" min="15" style="0" width="20"/>
    <col collapsed="false" customWidth="true" hidden="false" outlineLevel="0" max="16" min="16" style="0" width="12"/>
    <col collapsed="false" customWidth="true" hidden="false" outlineLevel="0" max="17" min="17" style="0" width="19"/>
    <col collapsed="false" customWidth="true" hidden="false" outlineLevel="0" max="18" min="18" style="0" width="15"/>
    <col collapsed="false" customWidth="true" hidden="false" outlineLevel="0" max="19" min="19" style="0" width="22"/>
    <col collapsed="false" customWidth="true" hidden="false" outlineLevel="0" max="20" min="20" style="0" width="15"/>
    <col collapsed="false" customWidth="true" hidden="false" outlineLevel="0" max="21" min="21" style="0" width="16"/>
    <col collapsed="false" customWidth="true" hidden="false" outlineLevel="0" max="22" min="22" style="0" width="20"/>
    <col collapsed="false" customWidth="true" hidden="false" outlineLevel="0" max="23" min="23" style="0" width="15"/>
    <col collapsed="false" customWidth="true" hidden="false" outlineLevel="0" max="24" min="24" style="0" width="18"/>
    <col collapsed="false" customWidth="true" hidden="false" outlineLevel="0" max="25" min="25" style="0" width="14"/>
    <col collapsed="false" customWidth="true" hidden="false" outlineLevel="0" max="26" min="26" style="0" width="16"/>
    <col collapsed="false" customWidth="true" hidden="false" outlineLevel="0" max="27" min="27" style="0" width="11"/>
    <col collapsed="false" customWidth="true" hidden="false" outlineLevel="0" max="28" min="28" style="0" width="10"/>
    <col collapsed="false" customWidth="true" hidden="false" outlineLevel="0" max="30" min="29" style="0" width="15"/>
    <col collapsed="false" customWidth="true" hidden="false" outlineLevel="0" max="31" min="31" style="0" width="17"/>
    <col collapsed="false" customWidth="true" hidden="false" outlineLevel="0" max="32" min="32" style="0" width="19"/>
    <col collapsed="false" customWidth="true" hidden="false" outlineLevel="0" max="33" min="33" style="0" width="16"/>
    <col collapsed="false" customWidth="true" hidden="false" outlineLevel="0" max="35" min="34" style="0" width="19"/>
    <col collapsed="false" customWidth="true" hidden="false" outlineLevel="0" max="37" min="36" style="0" width="14"/>
    <col collapsed="false" customWidth="true" hidden="false" outlineLevel="0" max="38" min="38" style="0" width="17"/>
    <col collapsed="false" customWidth="true" hidden="false" outlineLevel="0" max="39" min="39" style="0" width="24"/>
    <col collapsed="false" customWidth="true" hidden="false" outlineLevel="0" max="40" min="40" style="0" width="15"/>
    <col collapsed="false" customWidth="true" hidden="false" outlineLevel="0" max="41" min="41" style="0" width="18"/>
    <col collapsed="false" customWidth="true" hidden="false" outlineLevel="0" max="44" min="42" style="0" width="13"/>
    <col collapsed="false" customWidth="true" hidden="false" outlineLevel="0" max="45" min="45" style="0" width="22"/>
    <col collapsed="false" customWidth="true" hidden="false" outlineLevel="0" max="46" min="46" style="0" width="11"/>
    <col collapsed="false" customWidth="true" hidden="false" outlineLevel="0" max="47" min="47" style="0" width="13"/>
    <col collapsed="false" customWidth="true" hidden="false" outlineLevel="0" max="48" min="48" style="0" width="15"/>
    <col collapsed="false" customWidth="true" hidden="false" outlineLevel="0" max="49" min="49" style="0" width="20"/>
    <col collapsed="false" customWidth="true" hidden="false" outlineLevel="0" max="50" min="50" style="0" width="34"/>
    <col collapsed="false" customWidth="true" hidden="false" outlineLevel="0" max="51" min="51" style="0" width="14"/>
    <col collapsed="false" customWidth="true" hidden="false" outlineLevel="0" max="52" min="52" style="0" width="13"/>
    <col collapsed="false" customWidth="true" hidden="false" outlineLevel="0" max="53" min="53" style="0" width="34"/>
  </cols>
  <sheetData>
    <row r="1" customFormat="false" ht="19.5" hidden="false" customHeight="true" outlineLevel="0" collapsed="false">
      <c r="A1" s="13" t="s">
        <v>50</v>
      </c>
      <c r="B1" s="13"/>
      <c r="C1" s="13"/>
      <c r="D1" s="13"/>
      <c r="E1" s="14" t="s">
        <v>62</v>
      </c>
      <c r="F1" s="14"/>
      <c r="G1" s="14"/>
      <c r="H1" s="14"/>
      <c r="I1" s="14"/>
      <c r="J1" s="14"/>
      <c r="K1" s="14"/>
      <c r="L1" s="14"/>
      <c r="M1" s="15" t="s">
        <v>79</v>
      </c>
      <c r="N1" s="15"/>
      <c r="O1" s="15"/>
      <c r="P1" s="15"/>
      <c r="Q1" s="15"/>
      <c r="R1" s="15"/>
      <c r="S1" s="15"/>
      <c r="T1" s="16" t="s">
        <v>94</v>
      </c>
      <c r="U1" s="16"/>
      <c r="V1" s="16"/>
      <c r="W1" s="16"/>
      <c r="X1" s="16"/>
      <c r="Y1" s="16"/>
      <c r="Z1" s="16"/>
      <c r="AA1" s="17" t="s">
        <v>111</v>
      </c>
      <c r="AB1" s="17"/>
      <c r="AC1" s="17"/>
      <c r="AD1" s="18" t="s">
        <v>118</v>
      </c>
      <c r="AE1" s="18"/>
      <c r="AF1" s="18"/>
      <c r="AG1" s="18"/>
      <c r="AH1" s="18"/>
      <c r="AI1" s="18"/>
      <c r="AJ1" s="18"/>
      <c r="AK1" s="18"/>
      <c r="AL1" s="18"/>
      <c r="AM1" s="18"/>
      <c r="AN1" s="19" t="s">
        <v>139</v>
      </c>
      <c r="AO1" s="19"/>
      <c r="AP1" s="19"/>
      <c r="AQ1" s="19"/>
      <c r="AR1" s="19"/>
      <c r="AS1" s="19"/>
      <c r="AT1" s="19"/>
      <c r="AU1" s="20" t="s">
        <v>154</v>
      </c>
      <c r="AV1" s="20"/>
      <c r="AW1" s="20"/>
      <c r="AX1" s="20"/>
      <c r="AY1" s="21" t="s">
        <v>163</v>
      </c>
      <c r="AZ1" s="21"/>
      <c r="BA1" s="21"/>
    </row>
    <row r="2" customFormat="false" ht="42" hidden="false" customHeight="true" outlineLevel="0" collapsed="false">
      <c r="A2" s="22" t="s">
        <v>51</v>
      </c>
      <c r="B2" s="22" t="s">
        <v>55</v>
      </c>
      <c r="C2" s="22" t="s">
        <v>58</v>
      </c>
      <c r="D2" s="22" t="s">
        <v>60</v>
      </c>
      <c r="E2" s="23" t="s">
        <v>26</v>
      </c>
      <c r="F2" s="23" t="s">
        <v>65</v>
      </c>
      <c r="G2" s="23" t="s">
        <v>67</v>
      </c>
      <c r="H2" s="23" t="s">
        <v>69</v>
      </c>
      <c r="I2" s="23" t="s">
        <v>71</v>
      </c>
      <c r="J2" s="23" t="s">
        <v>73</v>
      </c>
      <c r="K2" s="23" t="s">
        <v>75</v>
      </c>
      <c r="L2" s="23" t="s">
        <v>77</v>
      </c>
      <c r="M2" s="24" t="s">
        <v>80</v>
      </c>
      <c r="N2" s="24" t="s">
        <v>82</v>
      </c>
      <c r="O2" s="24" t="s">
        <v>84</v>
      </c>
      <c r="P2" s="24" t="s">
        <v>86</v>
      </c>
      <c r="Q2" s="24" t="s">
        <v>88</v>
      </c>
      <c r="R2" s="24" t="s">
        <v>90</v>
      </c>
      <c r="S2" s="24" t="s">
        <v>92</v>
      </c>
      <c r="T2" s="25" t="s">
        <v>95</v>
      </c>
      <c r="U2" s="25" t="s">
        <v>97</v>
      </c>
      <c r="V2" s="25" t="s">
        <v>99</v>
      </c>
      <c r="W2" s="25" t="s">
        <v>101</v>
      </c>
      <c r="X2" s="25" t="s">
        <v>105</v>
      </c>
      <c r="Y2" s="25" t="s">
        <v>107</v>
      </c>
      <c r="Z2" s="25" t="s">
        <v>109</v>
      </c>
      <c r="AA2" s="26" t="s">
        <v>112</v>
      </c>
      <c r="AB2" s="26" t="s">
        <v>114</v>
      </c>
      <c r="AC2" s="26" t="s">
        <v>116</v>
      </c>
      <c r="AD2" s="27" t="s">
        <v>119</v>
      </c>
      <c r="AE2" s="27" t="s">
        <v>121</v>
      </c>
      <c r="AF2" s="27" t="s">
        <v>123</v>
      </c>
      <c r="AG2" s="27" t="s">
        <v>125</v>
      </c>
      <c r="AH2" s="27" t="s">
        <v>127</v>
      </c>
      <c r="AI2" s="27" t="s">
        <v>129</v>
      </c>
      <c r="AJ2" s="27" t="s">
        <v>131</v>
      </c>
      <c r="AK2" s="27" t="s">
        <v>133</v>
      </c>
      <c r="AL2" s="27" t="s">
        <v>135</v>
      </c>
      <c r="AM2" s="27" t="s">
        <v>137</v>
      </c>
      <c r="AN2" s="28" t="s">
        <v>140</v>
      </c>
      <c r="AO2" s="28" t="s">
        <v>142</v>
      </c>
      <c r="AP2" s="28" t="s">
        <v>144</v>
      </c>
      <c r="AQ2" s="28" t="s">
        <v>146</v>
      </c>
      <c r="AR2" s="28" t="s">
        <v>148</v>
      </c>
      <c r="AS2" s="28" t="s">
        <v>150</v>
      </c>
      <c r="AT2" s="28" t="s">
        <v>152</v>
      </c>
      <c r="AU2" s="29" t="s">
        <v>155</v>
      </c>
      <c r="AV2" s="29" t="s">
        <v>157</v>
      </c>
      <c r="AW2" s="29" t="s">
        <v>159</v>
      </c>
      <c r="AX2" s="29" t="s">
        <v>161</v>
      </c>
      <c r="AY2" s="30" t="s">
        <v>163</v>
      </c>
      <c r="AZ2" s="30" t="s">
        <v>165</v>
      </c>
      <c r="BA2" s="30" t="s">
        <v>168</v>
      </c>
    </row>
    <row r="3" customFormat="false" ht="15" hidden="false" customHeight="false" outlineLevel="0" collapsed="false">
      <c r="A3" s="31" t="s">
        <v>170</v>
      </c>
      <c r="B3" s="31"/>
      <c r="C3" s="32" t="s">
        <v>171</v>
      </c>
      <c r="D3" s="32" t="s">
        <v>172</v>
      </c>
      <c r="E3" s="31" t="s">
        <v>173</v>
      </c>
      <c r="F3" s="31" t="s">
        <v>174</v>
      </c>
      <c r="G3" s="31" t="s">
        <v>175</v>
      </c>
      <c r="H3" s="31" t="s">
        <v>176</v>
      </c>
      <c r="I3" s="31" t="s">
        <v>52</v>
      </c>
      <c r="J3" s="31" t="s">
        <v>177</v>
      </c>
      <c r="K3" s="31" t="s">
        <v>177</v>
      </c>
      <c r="L3" s="31" t="s">
        <v>177</v>
      </c>
      <c r="M3" s="31" t="s">
        <v>178</v>
      </c>
      <c r="N3" s="31" t="s">
        <v>179</v>
      </c>
      <c r="O3" s="33" t="n">
        <v>25</v>
      </c>
      <c r="P3" s="31"/>
      <c r="Q3" s="33"/>
      <c r="R3" s="31"/>
      <c r="S3" s="32" t="s">
        <v>180</v>
      </c>
      <c r="T3" s="31" t="s">
        <v>181</v>
      </c>
      <c r="U3" s="31" t="s">
        <v>182</v>
      </c>
      <c r="V3" s="34" t="n">
        <v>18.5</v>
      </c>
      <c r="W3" s="35" t="n">
        <f aca="false">IF(V3="","",IFERROR(V3/O3,""))</f>
        <v>0.74</v>
      </c>
      <c r="X3" s="31" t="n">
        <v>3</v>
      </c>
      <c r="Y3" s="33" t="n">
        <v>2</v>
      </c>
      <c r="Z3" s="36" t="n">
        <v>1</v>
      </c>
      <c r="AA3" s="31" t="s">
        <v>183</v>
      </c>
      <c r="AB3" s="37" t="n">
        <f aca="false">IFERROR(INDEX(TABLA_IVA!$C$3:$C$6,MATCH(AA3,TABLA_IVA!$A$3:$A$6,0)),"")</f>
        <v>0.04</v>
      </c>
      <c r="AC3" s="34"/>
      <c r="AD3" s="31"/>
      <c r="AE3" s="38"/>
      <c r="AF3" s="39" t="str">
        <f aca="false">IF(OR(AC3="",AE3="",AB3=""),"",IFERROR(AC3/(1-AE3)*(1+AB3),""))</f>
        <v/>
      </c>
      <c r="AG3" s="34"/>
      <c r="AH3" s="39" t="str">
        <f aca="false">IF(AD3="FIJO",IF(AG3="","",AG3),IF(AF3&lt;&gt;"",AF3,IF(AG3="","",AG3)))</f>
        <v/>
      </c>
      <c r="AI3" s="39" t="str">
        <f aca="false">IF(OR(AH3="",AB3=""),"",IFERROR(AH3/(1+AB3),""))</f>
        <v/>
      </c>
      <c r="AJ3" s="37" t="str">
        <f aca="false">IF(OR(AI3="",AC3=""),"",IFERROR((AI3-AC3)/AI3,""))</f>
        <v/>
      </c>
      <c r="AK3" s="40" t="str">
        <f aca="false">IF(OR(AJ3="",AE3=""),"",AJ3-AE3)</f>
        <v/>
      </c>
      <c r="AL3" s="41" t="str">
        <f aca="false">IF(OR(AH3="",AF3=""),"",AH3-AF3)</f>
        <v/>
      </c>
      <c r="AM3" s="42" t="str">
        <f aca="false">IF(OR(A3="",K3&lt;&gt;"SI"),"",IF(AE3="","Sin objetivo",IF(AJ3="","Faltan datos",IF(AJ3&lt;0,"PÉRDIDA",IF(AK3&lt;-UMB_CRITICO,"MUY POR DEBAJO",IF(AK3&lt;-UMB_BAJO,"POR DEBAJO",IF(AK3&lt;-UMB_AJUSTADO,"AJUSTADO",IF(AK3&lt;=UMB_ALTO,"EN OBJETIVO","POR ENCIMA"))))))))</f>
        <v/>
      </c>
      <c r="AN3" s="31" t="s">
        <v>52</v>
      </c>
      <c r="AO3" s="31" t="s">
        <v>184</v>
      </c>
      <c r="AP3" s="33" t="n">
        <v>50</v>
      </c>
      <c r="AQ3" s="33" t="n">
        <v>300</v>
      </c>
      <c r="AR3" s="33" t="n">
        <v>100</v>
      </c>
      <c r="AS3" s="31" t="s">
        <v>185</v>
      </c>
      <c r="AT3" s="31" t="s">
        <v>186</v>
      </c>
      <c r="AU3" s="31" t="s">
        <v>52</v>
      </c>
      <c r="AV3" s="31" t="n">
        <v>180</v>
      </c>
      <c r="AW3" s="31" t="s">
        <v>187</v>
      </c>
      <c r="AX3" s="32" t="s">
        <v>188</v>
      </c>
      <c r="AY3" s="31" t="s">
        <v>189</v>
      </c>
      <c r="AZ3" s="43" t="n">
        <v>46248</v>
      </c>
      <c r="BA3" s="32"/>
    </row>
    <row r="4" customFormat="false" ht="15" hidden="false" customHeight="false" outlineLevel="0" collapsed="false">
      <c r="A4" s="31" t="s">
        <v>190</v>
      </c>
      <c r="B4" s="31"/>
      <c r="C4" s="32" t="s">
        <v>191</v>
      </c>
      <c r="D4" s="32" t="s">
        <v>192</v>
      </c>
      <c r="E4" s="31" t="s">
        <v>173</v>
      </c>
      <c r="F4" s="31" t="s">
        <v>174</v>
      </c>
      <c r="G4" s="31" t="s">
        <v>175</v>
      </c>
      <c r="H4" s="31" t="s">
        <v>193</v>
      </c>
      <c r="I4" s="31" t="s">
        <v>52</v>
      </c>
      <c r="J4" s="31" t="s">
        <v>177</v>
      </c>
      <c r="K4" s="31" t="s">
        <v>177</v>
      </c>
      <c r="L4" s="31" t="s">
        <v>177</v>
      </c>
      <c r="M4" s="31" t="s">
        <v>178</v>
      </c>
      <c r="N4" s="31" t="s">
        <v>179</v>
      </c>
      <c r="O4" s="33" t="n">
        <v>25</v>
      </c>
      <c r="P4" s="31"/>
      <c r="Q4" s="33"/>
      <c r="R4" s="31"/>
      <c r="S4" s="32" t="s">
        <v>180</v>
      </c>
      <c r="T4" s="31" t="s">
        <v>181</v>
      </c>
      <c r="U4" s="31" t="s">
        <v>194</v>
      </c>
      <c r="V4" s="34" t="n">
        <v>22.9</v>
      </c>
      <c r="W4" s="35" t="n">
        <f aca="false">IF(V4="","",IFERROR(V4/O4,""))</f>
        <v>0.916</v>
      </c>
      <c r="X4" s="31" t="n">
        <v>3</v>
      </c>
      <c r="Y4" s="33" t="n">
        <v>2</v>
      </c>
      <c r="Z4" s="36" t="n">
        <v>1</v>
      </c>
      <c r="AA4" s="31" t="s">
        <v>183</v>
      </c>
      <c r="AB4" s="37" t="n">
        <f aca="false">IFERROR(INDEX(TABLA_IVA!$C$3:$C$6,MATCH(AA4,TABLA_IVA!$A$3:$A$6,0)),"")</f>
        <v>0.04</v>
      </c>
      <c r="AC4" s="34"/>
      <c r="AD4" s="31"/>
      <c r="AE4" s="38"/>
      <c r="AF4" s="39" t="str">
        <f aca="false">IF(OR(AC4="",AE4="",AB4=""),"",IFERROR(AC4/(1-AE4)*(1+AB4),""))</f>
        <v/>
      </c>
      <c r="AG4" s="34"/>
      <c r="AH4" s="39" t="str">
        <f aca="false">IF(AD4="FIJO",IF(AG4="","",AG4),IF(AF4&lt;&gt;"",AF4,IF(AG4="","",AG4)))</f>
        <v/>
      </c>
      <c r="AI4" s="39" t="str">
        <f aca="false">IF(OR(AH4="",AB4=""),"",IFERROR(AH4/(1+AB4),""))</f>
        <v/>
      </c>
      <c r="AJ4" s="37" t="str">
        <f aca="false">IF(OR(AI4="",AC4=""),"",IFERROR((AI4-AC4)/AI4,""))</f>
        <v/>
      </c>
      <c r="AK4" s="40" t="str">
        <f aca="false">IF(OR(AJ4="",AE4=""),"",AJ4-AE4)</f>
        <v/>
      </c>
      <c r="AL4" s="41" t="str">
        <f aca="false">IF(OR(AH4="",AF4=""),"",AH4-AF4)</f>
        <v/>
      </c>
      <c r="AM4" s="42" t="str">
        <f aca="false">IF(OR(A4="",K4&lt;&gt;"SI"),"",IF(AE4="","Sin objetivo",IF(AJ4="","Faltan datos",IF(AJ4&lt;0,"PÉRDIDA",IF(AK4&lt;-UMB_CRITICO,"MUY POR DEBAJO",IF(AK4&lt;-UMB_BAJO,"POR DEBAJO",IF(AK4&lt;-UMB_AJUSTADO,"AJUSTADO",IF(AK4&lt;=UMB_ALTO,"EN OBJETIVO","POR ENCIMA"))))))))</f>
        <v/>
      </c>
      <c r="AN4" s="31" t="s">
        <v>52</v>
      </c>
      <c r="AO4" s="31" t="s">
        <v>184</v>
      </c>
      <c r="AP4" s="33" t="n">
        <v>25</v>
      </c>
      <c r="AQ4" s="33" t="n">
        <v>150</v>
      </c>
      <c r="AR4" s="33" t="n">
        <v>50</v>
      </c>
      <c r="AS4" s="31" t="s">
        <v>185</v>
      </c>
      <c r="AT4" s="31" t="s">
        <v>186</v>
      </c>
      <c r="AU4" s="31" t="s">
        <v>52</v>
      </c>
      <c r="AV4" s="31" t="n">
        <v>180</v>
      </c>
      <c r="AW4" s="31" t="s">
        <v>187</v>
      </c>
      <c r="AX4" s="32" t="s">
        <v>188</v>
      </c>
      <c r="AY4" s="31" t="s">
        <v>189</v>
      </c>
      <c r="AZ4" s="43" t="n">
        <v>46248</v>
      </c>
      <c r="BA4" s="32"/>
    </row>
    <row r="5" customFormat="false" ht="15" hidden="false" customHeight="false" outlineLevel="0" collapsed="false">
      <c r="A5" s="31" t="s">
        <v>195</v>
      </c>
      <c r="B5" s="31"/>
      <c r="C5" s="32" t="s">
        <v>196</v>
      </c>
      <c r="D5" s="32" t="s">
        <v>197</v>
      </c>
      <c r="E5" s="31" t="s">
        <v>173</v>
      </c>
      <c r="F5" s="31" t="s">
        <v>198</v>
      </c>
      <c r="G5" s="31" t="s">
        <v>199</v>
      </c>
      <c r="H5" s="31" t="s">
        <v>176</v>
      </c>
      <c r="I5" s="31" t="s">
        <v>52</v>
      </c>
      <c r="J5" s="31" t="s">
        <v>177</v>
      </c>
      <c r="K5" s="31" t="s">
        <v>177</v>
      </c>
      <c r="L5" s="31" t="s">
        <v>177</v>
      </c>
      <c r="M5" s="31" t="s">
        <v>178</v>
      </c>
      <c r="N5" s="31" t="s">
        <v>200</v>
      </c>
      <c r="O5" s="33" t="n">
        <v>5</v>
      </c>
      <c r="P5" s="31"/>
      <c r="Q5" s="33"/>
      <c r="R5" s="31"/>
      <c r="S5" s="32" t="s">
        <v>201</v>
      </c>
      <c r="T5" s="31" t="s">
        <v>181</v>
      </c>
      <c r="U5" s="31" t="s">
        <v>202</v>
      </c>
      <c r="V5" s="34" t="n">
        <v>14</v>
      </c>
      <c r="W5" s="35" t="n">
        <f aca="false">IF(V5="","",IFERROR(V5/O5,""))</f>
        <v>2.8</v>
      </c>
      <c r="X5" s="31" t="n">
        <v>2</v>
      </c>
      <c r="Y5" s="33" t="n">
        <v>1</v>
      </c>
      <c r="Z5" s="36" t="n">
        <v>0.5</v>
      </c>
      <c r="AA5" s="31" t="s">
        <v>203</v>
      </c>
      <c r="AB5" s="37" t="n">
        <f aca="false">IFERROR(INDEX(TABLA_IVA!$C$3:$C$6,MATCH(AA5,TABLA_IVA!$A$3:$A$6,0)),"")</f>
        <v>0.1</v>
      </c>
      <c r="AC5" s="34"/>
      <c r="AD5" s="31"/>
      <c r="AE5" s="38"/>
      <c r="AF5" s="39" t="str">
        <f aca="false">IF(OR(AC5="",AE5="",AB5=""),"",IFERROR(AC5/(1-AE5)*(1+AB5),""))</f>
        <v/>
      </c>
      <c r="AG5" s="34"/>
      <c r="AH5" s="39" t="str">
        <f aca="false">IF(AD5="FIJO",IF(AG5="","",AG5),IF(AF5&lt;&gt;"",AF5,IF(AG5="","",AG5)))</f>
        <v/>
      </c>
      <c r="AI5" s="39" t="str">
        <f aca="false">IF(OR(AH5="",AB5=""),"",IFERROR(AH5/(1+AB5),""))</f>
        <v/>
      </c>
      <c r="AJ5" s="37" t="str">
        <f aca="false">IF(OR(AI5="",AC5=""),"",IFERROR((AI5-AC5)/AI5,""))</f>
        <v/>
      </c>
      <c r="AK5" s="40" t="str">
        <f aca="false">IF(OR(AJ5="",AE5=""),"",AJ5-AE5)</f>
        <v/>
      </c>
      <c r="AL5" s="41" t="str">
        <f aca="false">IF(OR(AH5="",AF5=""),"",AH5-AF5)</f>
        <v/>
      </c>
      <c r="AM5" s="42" t="str">
        <f aca="false">IF(OR(A5="",K5&lt;&gt;"SI"),"",IF(AE5="","Sin objetivo",IF(AJ5="","Faltan datos",IF(AJ5&lt;0,"PÉRDIDA",IF(AK5&lt;-UMB_CRITICO,"MUY POR DEBAJO",IF(AK5&lt;-UMB_BAJO,"POR DEBAJO",IF(AK5&lt;-UMB_AJUSTADO,"AJUSTADO",IF(AK5&lt;=UMB_ALTO,"EN OBJETIVO","POR ENCIMA"))))))))</f>
        <v/>
      </c>
      <c r="AN5" s="31" t="s">
        <v>52</v>
      </c>
      <c r="AO5" s="31" t="s">
        <v>204</v>
      </c>
      <c r="AP5" s="33" t="n">
        <v>2</v>
      </c>
      <c r="AQ5" s="33" t="n">
        <v>10</v>
      </c>
      <c r="AR5" s="33" t="n">
        <v>4</v>
      </c>
      <c r="AS5" s="31" t="s">
        <v>205</v>
      </c>
      <c r="AT5" s="31" t="s">
        <v>186</v>
      </c>
      <c r="AU5" s="31" t="s">
        <v>52</v>
      </c>
      <c r="AV5" s="31" t="n">
        <v>21</v>
      </c>
      <c r="AW5" s="31" t="s">
        <v>206</v>
      </c>
      <c r="AX5" s="32"/>
      <c r="AY5" s="31" t="s">
        <v>189</v>
      </c>
      <c r="AZ5" s="43" t="n">
        <v>46248</v>
      </c>
      <c r="BA5" s="32"/>
    </row>
    <row r="6" customFormat="false" ht="15" hidden="false" customHeight="false" outlineLevel="0" collapsed="false">
      <c r="A6" s="31" t="s">
        <v>207</v>
      </c>
      <c r="B6" s="31"/>
      <c r="C6" s="32" t="s">
        <v>208</v>
      </c>
      <c r="D6" s="32" t="s">
        <v>209</v>
      </c>
      <c r="E6" s="31" t="s">
        <v>173</v>
      </c>
      <c r="F6" s="31" t="s">
        <v>210</v>
      </c>
      <c r="G6" s="31" t="s">
        <v>211</v>
      </c>
      <c r="H6" s="31" t="s">
        <v>176</v>
      </c>
      <c r="I6" s="31" t="s">
        <v>52</v>
      </c>
      <c r="J6" s="31" t="s">
        <v>177</v>
      </c>
      <c r="K6" s="31" t="s">
        <v>177</v>
      </c>
      <c r="L6" s="31" t="s">
        <v>177</v>
      </c>
      <c r="M6" s="31" t="s">
        <v>178</v>
      </c>
      <c r="N6" s="31" t="s">
        <v>179</v>
      </c>
      <c r="O6" s="33" t="n">
        <v>25</v>
      </c>
      <c r="P6" s="31"/>
      <c r="Q6" s="33"/>
      <c r="R6" s="31"/>
      <c r="S6" s="32" t="s">
        <v>180</v>
      </c>
      <c r="T6" s="31" t="s">
        <v>181</v>
      </c>
      <c r="U6" s="31" t="s">
        <v>212</v>
      </c>
      <c r="V6" s="34" t="n">
        <v>9.2</v>
      </c>
      <c r="W6" s="35" t="n">
        <f aca="false">IF(V6="","",IFERROR(V6/O6,""))</f>
        <v>0.368</v>
      </c>
      <c r="X6" s="31" t="n">
        <v>5</v>
      </c>
      <c r="Y6" s="33" t="n">
        <v>1</v>
      </c>
      <c r="Z6" s="36" t="n">
        <v>0</v>
      </c>
      <c r="AA6" s="31" t="s">
        <v>203</v>
      </c>
      <c r="AB6" s="37" t="n">
        <f aca="false">IFERROR(INDEX(TABLA_IVA!$C$3:$C$6,MATCH(AA6,TABLA_IVA!$A$3:$A$6,0)),"")</f>
        <v>0.1</v>
      </c>
      <c r="AC6" s="34"/>
      <c r="AD6" s="31"/>
      <c r="AE6" s="38"/>
      <c r="AF6" s="39" t="str">
        <f aca="false">IF(OR(AC6="",AE6="",AB6=""),"",IFERROR(AC6/(1-AE6)*(1+AB6),""))</f>
        <v/>
      </c>
      <c r="AG6" s="34"/>
      <c r="AH6" s="39" t="str">
        <f aca="false">IF(AD6="FIJO",IF(AG6="","",AG6),IF(AF6&lt;&gt;"",AF6,IF(AG6="","",AG6)))</f>
        <v/>
      </c>
      <c r="AI6" s="39" t="str">
        <f aca="false">IF(OR(AH6="",AB6=""),"",IFERROR(AH6/(1+AB6),""))</f>
        <v/>
      </c>
      <c r="AJ6" s="37" t="str">
        <f aca="false">IF(OR(AI6="",AC6=""),"",IFERROR((AI6-AC6)/AI6,""))</f>
        <v/>
      </c>
      <c r="AK6" s="40" t="str">
        <f aca="false">IF(OR(AJ6="",AE6=""),"",AJ6-AE6)</f>
        <v/>
      </c>
      <c r="AL6" s="41" t="str">
        <f aca="false">IF(OR(AH6="",AF6=""),"",AH6-AF6)</f>
        <v/>
      </c>
      <c r="AM6" s="42" t="str">
        <f aca="false">IF(OR(A6="",K6&lt;&gt;"SI"),"",IF(AE6="","Sin objetivo",IF(AJ6="","Faltan datos",IF(AJ6&lt;0,"PÉRDIDA",IF(AK6&lt;-UMB_CRITICO,"MUY POR DEBAJO",IF(AK6&lt;-UMB_BAJO,"POR DEBAJO",IF(AK6&lt;-UMB_AJUSTADO,"AJUSTADO",IF(AK6&lt;=UMB_ALTO,"EN OBJETIVO","POR ENCIMA"))))))))</f>
        <v/>
      </c>
      <c r="AN6" s="31" t="s">
        <v>52</v>
      </c>
      <c r="AO6" s="31" t="s">
        <v>184</v>
      </c>
      <c r="AP6" s="33" t="n">
        <v>10</v>
      </c>
      <c r="AQ6" s="33" t="n">
        <v>50</v>
      </c>
      <c r="AR6" s="33" t="n">
        <v>20</v>
      </c>
      <c r="AS6" s="31" t="s">
        <v>185</v>
      </c>
      <c r="AT6" s="31" t="s">
        <v>213</v>
      </c>
      <c r="AU6" s="31" t="s">
        <v>177</v>
      </c>
      <c r="AV6" s="31" t="n">
        <v>720</v>
      </c>
      <c r="AW6" s="31" t="s">
        <v>187</v>
      </c>
      <c r="AX6" s="32"/>
      <c r="AY6" s="31" t="s">
        <v>189</v>
      </c>
      <c r="AZ6" s="43" t="n">
        <v>46248</v>
      </c>
      <c r="BA6" s="32"/>
    </row>
    <row r="7" customFormat="false" ht="15" hidden="false" customHeight="false" outlineLevel="0" collapsed="false">
      <c r="A7" s="31" t="s">
        <v>214</v>
      </c>
      <c r="B7" s="31"/>
      <c r="C7" s="32" t="s">
        <v>215</v>
      </c>
      <c r="D7" s="32" t="s">
        <v>216</v>
      </c>
      <c r="E7" s="31" t="s">
        <v>173</v>
      </c>
      <c r="F7" s="31" t="s">
        <v>217</v>
      </c>
      <c r="G7" s="31" t="s">
        <v>218</v>
      </c>
      <c r="H7" s="31" t="s">
        <v>193</v>
      </c>
      <c r="I7" s="31" t="s">
        <v>52</v>
      </c>
      <c r="J7" s="31" t="s">
        <v>177</v>
      </c>
      <c r="K7" s="31" t="s">
        <v>177</v>
      </c>
      <c r="L7" s="31" t="s">
        <v>177</v>
      </c>
      <c r="M7" s="31" t="s">
        <v>178</v>
      </c>
      <c r="N7" s="31" t="s">
        <v>179</v>
      </c>
      <c r="O7" s="33" t="n">
        <v>25</v>
      </c>
      <c r="P7" s="31"/>
      <c r="Q7" s="33"/>
      <c r="R7" s="31"/>
      <c r="S7" s="32" t="s">
        <v>180</v>
      </c>
      <c r="T7" s="31" t="s">
        <v>219</v>
      </c>
      <c r="U7" s="31" t="s">
        <v>220</v>
      </c>
      <c r="V7" s="34" t="n">
        <v>24</v>
      </c>
      <c r="W7" s="35" t="n">
        <f aca="false">IF(V7="","",IFERROR(V7/O7,""))</f>
        <v>0.96</v>
      </c>
      <c r="X7" s="31" t="n">
        <v>3</v>
      </c>
      <c r="Y7" s="33" t="n">
        <v>1</v>
      </c>
      <c r="Z7" s="36" t="n">
        <v>0.5</v>
      </c>
      <c r="AA7" s="31" t="s">
        <v>203</v>
      </c>
      <c r="AB7" s="37" t="n">
        <f aca="false">IFERROR(INDEX(TABLA_IVA!$C$3:$C$6,MATCH(AA7,TABLA_IVA!$A$3:$A$6,0)),"")</f>
        <v>0.1</v>
      </c>
      <c r="AC7" s="34"/>
      <c r="AD7" s="31"/>
      <c r="AE7" s="38"/>
      <c r="AF7" s="39" t="str">
        <f aca="false">IF(OR(AC7="",AE7="",AB7=""),"",IFERROR(AC7/(1-AE7)*(1+AB7),""))</f>
        <v/>
      </c>
      <c r="AG7" s="34"/>
      <c r="AH7" s="39" t="str">
        <f aca="false">IF(AD7="FIJO",IF(AG7="","",AG7),IF(AF7&lt;&gt;"",AF7,IF(AG7="","",AG7)))</f>
        <v/>
      </c>
      <c r="AI7" s="39" t="str">
        <f aca="false">IF(OR(AH7="",AB7=""),"",IFERROR(AH7/(1+AB7),""))</f>
        <v/>
      </c>
      <c r="AJ7" s="37" t="str">
        <f aca="false">IF(OR(AI7="",AC7=""),"",IFERROR((AI7-AC7)/AI7,""))</f>
        <v/>
      </c>
      <c r="AK7" s="40" t="str">
        <f aca="false">IF(OR(AJ7="",AE7=""),"",AJ7-AE7)</f>
        <v/>
      </c>
      <c r="AL7" s="41" t="str">
        <f aca="false">IF(OR(AH7="",AF7=""),"",AH7-AF7)</f>
        <v/>
      </c>
      <c r="AM7" s="42" t="str">
        <f aca="false">IF(OR(A7="",K7&lt;&gt;"SI"),"",IF(AE7="","Sin objetivo",IF(AJ7="","Faltan datos",IF(AJ7&lt;0,"PÉRDIDA",IF(AK7&lt;-UMB_CRITICO,"MUY POR DEBAJO",IF(AK7&lt;-UMB_BAJO,"POR DEBAJO",IF(AK7&lt;-UMB_AJUSTADO,"AJUSTADO",IF(AK7&lt;=UMB_ALTO,"EN OBJETIVO","POR ENCIMA"))))))))</f>
        <v/>
      </c>
      <c r="AN7" s="31" t="s">
        <v>52</v>
      </c>
      <c r="AO7" s="31" t="s">
        <v>184</v>
      </c>
      <c r="AP7" s="33" t="n">
        <v>25</v>
      </c>
      <c r="AQ7" s="33" t="n">
        <v>100</v>
      </c>
      <c r="AR7" s="33" t="n">
        <v>40</v>
      </c>
      <c r="AS7" s="31" t="s">
        <v>185</v>
      </c>
      <c r="AT7" s="31" t="s">
        <v>221</v>
      </c>
      <c r="AU7" s="31" t="s">
        <v>177</v>
      </c>
      <c r="AV7" s="31" t="n">
        <v>540</v>
      </c>
      <c r="AW7" s="31" t="s">
        <v>187</v>
      </c>
      <c r="AX7" s="32"/>
      <c r="AY7" s="31" t="s">
        <v>189</v>
      </c>
      <c r="AZ7" s="43" t="n">
        <v>46248</v>
      </c>
      <c r="BA7" s="32"/>
    </row>
    <row r="8" customFormat="false" ht="15" hidden="false" customHeight="false" outlineLevel="0" collapsed="false">
      <c r="A8" s="31" t="s">
        <v>222</v>
      </c>
      <c r="B8" s="31"/>
      <c r="C8" s="32" t="s">
        <v>223</v>
      </c>
      <c r="D8" s="32" t="s">
        <v>224</v>
      </c>
      <c r="E8" s="31" t="s">
        <v>173</v>
      </c>
      <c r="F8" s="31" t="s">
        <v>225</v>
      </c>
      <c r="G8" s="31" t="s">
        <v>226</v>
      </c>
      <c r="H8" s="31" t="s">
        <v>193</v>
      </c>
      <c r="I8" s="31" t="s">
        <v>52</v>
      </c>
      <c r="J8" s="31" t="s">
        <v>177</v>
      </c>
      <c r="K8" s="31" t="s">
        <v>177</v>
      </c>
      <c r="L8" s="31" t="s">
        <v>177</v>
      </c>
      <c r="M8" s="31" t="s">
        <v>178</v>
      </c>
      <c r="N8" s="31" t="s">
        <v>200</v>
      </c>
      <c r="O8" s="33" t="n">
        <v>10</v>
      </c>
      <c r="P8" s="31"/>
      <c r="Q8" s="33"/>
      <c r="R8" s="31"/>
      <c r="S8" s="32" t="s">
        <v>227</v>
      </c>
      <c r="T8" s="31" t="s">
        <v>219</v>
      </c>
      <c r="U8" s="31" t="s">
        <v>228</v>
      </c>
      <c r="V8" s="34" t="n">
        <v>78</v>
      </c>
      <c r="W8" s="35" t="n">
        <f aca="false">IF(V8="","",IFERROR(V8/O8,""))</f>
        <v>7.8</v>
      </c>
      <c r="X8" s="31" t="n">
        <v>3</v>
      </c>
      <c r="Y8" s="33" t="n">
        <v>1</v>
      </c>
      <c r="Z8" s="36" t="n">
        <v>1</v>
      </c>
      <c r="AA8" s="31" t="s">
        <v>203</v>
      </c>
      <c r="AB8" s="37" t="n">
        <f aca="false">IFERROR(INDEX(TABLA_IVA!$C$3:$C$6,MATCH(AA8,TABLA_IVA!$A$3:$A$6,0)),"")</f>
        <v>0.1</v>
      </c>
      <c r="AC8" s="34"/>
      <c r="AD8" s="31"/>
      <c r="AE8" s="38"/>
      <c r="AF8" s="39" t="str">
        <f aca="false">IF(OR(AC8="",AE8="",AB8=""),"",IFERROR(AC8/(1-AE8)*(1+AB8),""))</f>
        <v/>
      </c>
      <c r="AG8" s="34"/>
      <c r="AH8" s="39" t="str">
        <f aca="false">IF(AD8="FIJO",IF(AG8="","",AG8),IF(AF8&lt;&gt;"",AF8,IF(AG8="","",AG8)))</f>
        <v/>
      </c>
      <c r="AI8" s="39" t="str">
        <f aca="false">IF(OR(AH8="",AB8=""),"",IFERROR(AH8/(1+AB8),""))</f>
        <v/>
      </c>
      <c r="AJ8" s="37" t="str">
        <f aca="false">IF(OR(AI8="",AC8=""),"",IFERROR((AI8-AC8)/AI8,""))</f>
        <v/>
      </c>
      <c r="AK8" s="40" t="str">
        <f aca="false">IF(OR(AJ8="",AE8=""),"",AJ8-AE8)</f>
        <v/>
      </c>
      <c r="AL8" s="41" t="str">
        <f aca="false">IF(OR(AH8="",AF8=""),"",AH8-AF8)</f>
        <v/>
      </c>
      <c r="AM8" s="42" t="str">
        <f aca="false">IF(OR(A8="",K8&lt;&gt;"SI"),"",IF(AE8="","Sin objetivo",IF(AJ8="","Faltan datos",IF(AJ8&lt;0,"PÉRDIDA",IF(AK8&lt;-UMB_CRITICO,"MUY POR DEBAJO",IF(AK8&lt;-UMB_BAJO,"POR DEBAJO",IF(AK8&lt;-UMB_AJUSTADO,"AJUSTADO",IF(AK8&lt;=UMB_ALTO,"EN OBJETIVO","POR ENCIMA"))))))))</f>
        <v/>
      </c>
      <c r="AN8" s="31" t="s">
        <v>52</v>
      </c>
      <c r="AO8" s="31" t="s">
        <v>204</v>
      </c>
      <c r="AP8" s="33" t="n">
        <v>10</v>
      </c>
      <c r="AQ8" s="33" t="n">
        <v>40</v>
      </c>
      <c r="AR8" s="33" t="n">
        <v>15</v>
      </c>
      <c r="AS8" s="31" t="s">
        <v>205</v>
      </c>
      <c r="AT8" s="31" t="s">
        <v>186</v>
      </c>
      <c r="AU8" s="31" t="s">
        <v>52</v>
      </c>
      <c r="AV8" s="31" t="n">
        <v>90</v>
      </c>
      <c r="AW8" s="31" t="s">
        <v>206</v>
      </c>
      <c r="AX8" s="32" t="s">
        <v>229</v>
      </c>
      <c r="AY8" s="31" t="s">
        <v>189</v>
      </c>
      <c r="AZ8" s="43" t="n">
        <v>46248</v>
      </c>
      <c r="BA8" s="32"/>
    </row>
    <row r="9" customFormat="false" ht="15" hidden="false" customHeight="false" outlineLevel="0" collapsed="false">
      <c r="A9" s="31" t="s">
        <v>230</v>
      </c>
      <c r="B9" s="31"/>
      <c r="C9" s="32" t="s">
        <v>231</v>
      </c>
      <c r="D9" s="32" t="s">
        <v>232</v>
      </c>
      <c r="E9" s="31" t="s">
        <v>173</v>
      </c>
      <c r="F9" s="31" t="s">
        <v>225</v>
      </c>
      <c r="G9" s="31" t="s">
        <v>233</v>
      </c>
      <c r="H9" s="31" t="s">
        <v>193</v>
      </c>
      <c r="I9" s="31" t="s">
        <v>52</v>
      </c>
      <c r="J9" s="31" t="s">
        <v>177</v>
      </c>
      <c r="K9" s="31" t="s">
        <v>177</v>
      </c>
      <c r="L9" s="31" t="s">
        <v>177</v>
      </c>
      <c r="M9" s="31" t="s">
        <v>178</v>
      </c>
      <c r="N9" s="31" t="s">
        <v>200</v>
      </c>
      <c r="O9" s="33" t="n">
        <v>10</v>
      </c>
      <c r="P9" s="31"/>
      <c r="Q9" s="33"/>
      <c r="R9" s="31"/>
      <c r="S9" s="32" t="s">
        <v>234</v>
      </c>
      <c r="T9" s="31" t="s">
        <v>219</v>
      </c>
      <c r="U9" s="31" t="s">
        <v>235</v>
      </c>
      <c r="V9" s="34" t="n">
        <v>32.5</v>
      </c>
      <c r="W9" s="35" t="n">
        <f aca="false">IF(V9="","",IFERROR(V9/O9,""))</f>
        <v>3.25</v>
      </c>
      <c r="X9" s="31" t="n">
        <v>4</v>
      </c>
      <c r="Y9" s="33" t="n">
        <v>1</v>
      </c>
      <c r="Z9" s="36" t="n">
        <v>1</v>
      </c>
      <c r="AA9" s="31" t="s">
        <v>203</v>
      </c>
      <c r="AB9" s="37" t="n">
        <f aca="false">IFERROR(INDEX(TABLA_IVA!$C$3:$C$6,MATCH(AA9,TABLA_IVA!$A$3:$A$6,0)),"")</f>
        <v>0.1</v>
      </c>
      <c r="AC9" s="34"/>
      <c r="AD9" s="31"/>
      <c r="AE9" s="38"/>
      <c r="AF9" s="39" t="str">
        <f aca="false">IF(OR(AC9="",AE9="",AB9=""),"",IFERROR(AC9/(1-AE9)*(1+AB9),""))</f>
        <v/>
      </c>
      <c r="AG9" s="34"/>
      <c r="AH9" s="39" t="str">
        <f aca="false">IF(AD9="FIJO",IF(AG9="","",AG9),IF(AF9&lt;&gt;"",AF9,IF(AG9="","",AG9)))</f>
        <v/>
      </c>
      <c r="AI9" s="39" t="str">
        <f aca="false">IF(OR(AH9="",AB9=""),"",IFERROR(AH9/(1+AB9),""))</f>
        <v/>
      </c>
      <c r="AJ9" s="37" t="str">
        <f aca="false">IF(OR(AI9="",AC9=""),"",IFERROR((AI9-AC9)/AI9,""))</f>
        <v/>
      </c>
      <c r="AK9" s="40" t="str">
        <f aca="false">IF(OR(AJ9="",AE9=""),"",AJ9-AE9)</f>
        <v/>
      </c>
      <c r="AL9" s="41" t="str">
        <f aca="false">IF(OR(AH9="",AF9=""),"",AH9-AF9)</f>
        <v/>
      </c>
      <c r="AM9" s="42" t="str">
        <f aca="false">IF(OR(A9="",K9&lt;&gt;"SI"),"",IF(AE9="","Sin objetivo",IF(AJ9="","Faltan datos",IF(AJ9&lt;0,"PÉRDIDA",IF(AK9&lt;-UMB_CRITICO,"MUY POR DEBAJO",IF(AK9&lt;-UMB_BAJO,"POR DEBAJO",IF(AK9&lt;-UMB_AJUSTADO,"AJUSTADO",IF(AK9&lt;=UMB_ALTO,"EN OBJETIVO","POR ENCIMA"))))))))</f>
        <v/>
      </c>
      <c r="AN9" s="31" t="s">
        <v>52</v>
      </c>
      <c r="AO9" s="31" t="s">
        <v>204</v>
      </c>
      <c r="AP9" s="33" t="n">
        <v>5</v>
      </c>
      <c r="AQ9" s="33" t="n">
        <v>30</v>
      </c>
      <c r="AR9" s="33" t="n">
        <v>10</v>
      </c>
      <c r="AS9" s="31" t="s">
        <v>205</v>
      </c>
      <c r="AT9" s="31" t="s">
        <v>221</v>
      </c>
      <c r="AU9" s="31" t="s">
        <v>52</v>
      </c>
      <c r="AV9" s="31" t="n">
        <v>120</v>
      </c>
      <c r="AW9" s="31" t="s">
        <v>206</v>
      </c>
      <c r="AX9" s="32"/>
      <c r="AY9" s="31" t="s">
        <v>189</v>
      </c>
      <c r="AZ9" s="43" t="n">
        <v>46248</v>
      </c>
      <c r="BA9" s="32"/>
    </row>
    <row r="10" customFormat="false" ht="15" hidden="false" customHeight="false" outlineLevel="0" collapsed="false">
      <c r="A10" s="31" t="s">
        <v>236</v>
      </c>
      <c r="B10" s="31"/>
      <c r="C10" s="32" t="s">
        <v>237</v>
      </c>
      <c r="D10" s="32" t="s">
        <v>238</v>
      </c>
      <c r="E10" s="31" t="s">
        <v>173</v>
      </c>
      <c r="F10" s="31" t="s">
        <v>239</v>
      </c>
      <c r="G10" s="31" t="s">
        <v>229</v>
      </c>
      <c r="H10" s="31" t="s">
        <v>193</v>
      </c>
      <c r="I10" s="31" t="s">
        <v>52</v>
      </c>
      <c r="J10" s="31" t="s">
        <v>177</v>
      </c>
      <c r="K10" s="31" t="s">
        <v>177</v>
      </c>
      <c r="L10" s="31" t="s">
        <v>177</v>
      </c>
      <c r="M10" s="31" t="s">
        <v>240</v>
      </c>
      <c r="N10" s="31" t="s">
        <v>200</v>
      </c>
      <c r="O10" s="33" t="n">
        <v>12</v>
      </c>
      <c r="P10" s="31"/>
      <c r="Q10" s="33"/>
      <c r="R10" s="31"/>
      <c r="S10" s="32" t="s">
        <v>241</v>
      </c>
      <c r="T10" s="31" t="s">
        <v>219</v>
      </c>
      <c r="U10" s="31" t="s">
        <v>242</v>
      </c>
      <c r="V10" s="34" t="n">
        <v>10.8</v>
      </c>
      <c r="W10" s="35" t="n">
        <f aca="false">IF(V10="","",IFERROR(V10/O10,""))</f>
        <v>0.9</v>
      </c>
      <c r="X10" s="31" t="n">
        <v>3</v>
      </c>
      <c r="Y10" s="33" t="n">
        <v>1</v>
      </c>
      <c r="Z10" s="36" t="n">
        <v>0</v>
      </c>
      <c r="AA10" s="31" t="s">
        <v>183</v>
      </c>
      <c r="AB10" s="37" t="n">
        <f aca="false">IFERROR(INDEX(TABLA_IVA!$C$3:$C$6,MATCH(AA10,TABLA_IVA!$A$3:$A$6,0)),"")</f>
        <v>0.04</v>
      </c>
      <c r="AC10" s="34"/>
      <c r="AD10" s="31"/>
      <c r="AE10" s="38"/>
      <c r="AF10" s="39" t="str">
        <f aca="false">IF(OR(AC10="",AE10="",AB10=""),"",IFERROR(AC10/(1-AE10)*(1+AB10),""))</f>
        <v/>
      </c>
      <c r="AG10" s="34"/>
      <c r="AH10" s="39" t="str">
        <f aca="false">IF(AD10="FIJO",IF(AG10="","",AG10),IF(AF10&lt;&gt;"",AF10,IF(AG10="","",AG10)))</f>
        <v/>
      </c>
      <c r="AI10" s="39" t="str">
        <f aca="false">IF(OR(AH10="",AB10=""),"",IFERROR(AH10/(1+AB10),""))</f>
        <v/>
      </c>
      <c r="AJ10" s="37" t="str">
        <f aca="false">IF(OR(AI10="",AC10=""),"",IFERROR((AI10-AC10)/AI10,""))</f>
        <v/>
      </c>
      <c r="AK10" s="40" t="str">
        <f aca="false">IF(OR(AJ10="",AE10=""),"",AJ10-AE10)</f>
        <v/>
      </c>
      <c r="AL10" s="41" t="str">
        <f aca="false">IF(OR(AH10="",AF10=""),"",AH10-AF10)</f>
        <v/>
      </c>
      <c r="AM10" s="42" t="str">
        <f aca="false">IF(OR(A10="",K10&lt;&gt;"SI"),"",IF(AE10="","Sin objetivo",IF(AJ10="","Faltan datos",IF(AJ10&lt;0,"PÉRDIDA",IF(AK10&lt;-UMB_CRITICO,"MUY POR DEBAJO",IF(AK10&lt;-UMB_BAJO,"POR DEBAJO",IF(AK10&lt;-UMB_AJUSTADO,"AJUSTADO",IF(AK10&lt;=UMB_ALTO,"EN OBJETIVO","POR ENCIMA"))))))))</f>
        <v/>
      </c>
      <c r="AN10" s="31" t="s">
        <v>52</v>
      </c>
      <c r="AO10" s="31" t="s">
        <v>204</v>
      </c>
      <c r="AP10" s="33" t="n">
        <v>12</v>
      </c>
      <c r="AQ10" s="33" t="n">
        <v>60</v>
      </c>
      <c r="AR10" s="33" t="n">
        <v>24</v>
      </c>
      <c r="AS10" s="31" t="s">
        <v>185</v>
      </c>
      <c r="AT10" s="31" t="s">
        <v>221</v>
      </c>
      <c r="AU10" s="31" t="s">
        <v>52</v>
      </c>
      <c r="AV10" s="31" t="n">
        <v>120</v>
      </c>
      <c r="AW10" s="31" t="s">
        <v>243</v>
      </c>
      <c r="AX10" s="32" t="s">
        <v>229</v>
      </c>
      <c r="AY10" s="31" t="s">
        <v>189</v>
      </c>
      <c r="AZ10" s="43" t="n">
        <v>46248</v>
      </c>
      <c r="BA10" s="32"/>
    </row>
    <row r="11" customFormat="false" ht="15" hidden="false" customHeight="false" outlineLevel="0" collapsed="false">
      <c r="A11" s="31" t="s">
        <v>244</v>
      </c>
      <c r="B11" s="31"/>
      <c r="C11" s="32" t="s">
        <v>245</v>
      </c>
      <c r="D11" s="32" t="s">
        <v>246</v>
      </c>
      <c r="E11" s="31" t="s">
        <v>173</v>
      </c>
      <c r="F11" s="31" t="s">
        <v>239</v>
      </c>
      <c r="G11" s="31" t="s">
        <v>247</v>
      </c>
      <c r="H11" s="31" t="s">
        <v>193</v>
      </c>
      <c r="I11" s="31" t="s">
        <v>52</v>
      </c>
      <c r="J11" s="31" t="s">
        <v>177</v>
      </c>
      <c r="K11" s="31" t="s">
        <v>177</v>
      </c>
      <c r="L11" s="31" t="s">
        <v>177</v>
      </c>
      <c r="M11" s="31" t="s">
        <v>240</v>
      </c>
      <c r="N11" s="31" t="s">
        <v>200</v>
      </c>
      <c r="O11" s="33" t="n">
        <v>12</v>
      </c>
      <c r="P11" s="31"/>
      <c r="Q11" s="33"/>
      <c r="R11" s="31"/>
      <c r="S11" s="32" t="s">
        <v>241</v>
      </c>
      <c r="T11" s="31" t="s">
        <v>219</v>
      </c>
      <c r="U11" s="31" t="s">
        <v>248</v>
      </c>
      <c r="V11" s="34" t="n">
        <v>29.4</v>
      </c>
      <c r="W11" s="35" t="n">
        <f aca="false">IF(V11="","",IFERROR(V11/O11,""))</f>
        <v>2.45</v>
      </c>
      <c r="X11" s="31" t="n">
        <v>3</v>
      </c>
      <c r="Y11" s="33" t="n">
        <v>1</v>
      </c>
      <c r="Z11" s="36" t="n">
        <v>1</v>
      </c>
      <c r="AA11" s="31" t="s">
        <v>203</v>
      </c>
      <c r="AB11" s="37" t="n">
        <f aca="false">IFERROR(INDEX(TABLA_IVA!$C$3:$C$6,MATCH(AA11,TABLA_IVA!$A$3:$A$6,0)),"")</f>
        <v>0.1</v>
      </c>
      <c r="AC11" s="34"/>
      <c r="AD11" s="31"/>
      <c r="AE11" s="38"/>
      <c r="AF11" s="39" t="str">
        <f aca="false">IF(OR(AC11="",AE11="",AB11=""),"",IFERROR(AC11/(1-AE11)*(1+AB11),""))</f>
        <v/>
      </c>
      <c r="AG11" s="34"/>
      <c r="AH11" s="39" t="str">
        <f aca="false">IF(AD11="FIJO",IF(AG11="","",AG11),IF(AF11&lt;&gt;"",AF11,IF(AG11="","",AG11)))</f>
        <v/>
      </c>
      <c r="AI11" s="39" t="str">
        <f aca="false">IF(OR(AH11="",AB11=""),"",IFERROR(AH11/(1+AB11),""))</f>
        <v/>
      </c>
      <c r="AJ11" s="37" t="str">
        <f aca="false">IF(OR(AI11="",AC11=""),"",IFERROR((AI11-AC11)/AI11,""))</f>
        <v/>
      </c>
      <c r="AK11" s="40" t="str">
        <f aca="false">IF(OR(AJ11="",AE11=""),"",AJ11-AE11)</f>
        <v/>
      </c>
      <c r="AL11" s="41" t="str">
        <f aca="false">IF(OR(AH11="",AF11=""),"",AH11-AF11)</f>
        <v/>
      </c>
      <c r="AM11" s="42" t="str">
        <f aca="false">IF(OR(A11="",K11&lt;&gt;"SI"),"",IF(AE11="","Sin objetivo",IF(AJ11="","Faltan datos",IF(AJ11&lt;0,"PÉRDIDA",IF(AK11&lt;-UMB_CRITICO,"MUY POR DEBAJO",IF(AK11&lt;-UMB_BAJO,"POR DEBAJO",IF(AK11&lt;-UMB_AJUSTADO,"AJUSTADO",IF(AK11&lt;=UMB_ALTO,"EN OBJETIVO","POR ENCIMA"))))))))</f>
        <v/>
      </c>
      <c r="AN11" s="31" t="s">
        <v>52</v>
      </c>
      <c r="AO11" s="31" t="s">
        <v>204</v>
      </c>
      <c r="AP11" s="33" t="n">
        <v>6</v>
      </c>
      <c r="AQ11" s="33" t="n">
        <v>36</v>
      </c>
      <c r="AR11" s="33" t="n">
        <v>12</v>
      </c>
      <c r="AS11" s="31" t="s">
        <v>205</v>
      </c>
      <c r="AT11" s="31" t="s">
        <v>186</v>
      </c>
      <c r="AU11" s="31" t="s">
        <v>52</v>
      </c>
      <c r="AV11" s="31" t="n">
        <v>45</v>
      </c>
      <c r="AW11" s="31" t="s">
        <v>206</v>
      </c>
      <c r="AX11" s="32" t="s">
        <v>229</v>
      </c>
      <c r="AY11" s="31" t="s">
        <v>189</v>
      </c>
      <c r="AZ11" s="43" t="n">
        <v>46248</v>
      </c>
      <c r="BA11" s="32"/>
    </row>
    <row r="12" customFormat="false" ht="15" hidden="false" customHeight="false" outlineLevel="0" collapsed="false">
      <c r="A12" s="31" t="s">
        <v>249</v>
      </c>
      <c r="B12" s="31"/>
      <c r="C12" s="32" t="s">
        <v>250</v>
      </c>
      <c r="D12" s="32" t="s">
        <v>251</v>
      </c>
      <c r="E12" s="31" t="s">
        <v>173</v>
      </c>
      <c r="F12" s="31" t="s">
        <v>239</v>
      </c>
      <c r="G12" s="31" t="s">
        <v>252</v>
      </c>
      <c r="H12" s="31" t="s">
        <v>193</v>
      </c>
      <c r="I12" s="31" t="s">
        <v>52</v>
      </c>
      <c r="J12" s="31" t="s">
        <v>177</v>
      </c>
      <c r="K12" s="31" t="s">
        <v>177</v>
      </c>
      <c r="L12" s="31" t="s">
        <v>177</v>
      </c>
      <c r="M12" s="31" t="s">
        <v>178</v>
      </c>
      <c r="N12" s="31" t="s">
        <v>253</v>
      </c>
      <c r="O12" s="33" t="n">
        <v>5</v>
      </c>
      <c r="P12" s="31"/>
      <c r="Q12" s="33"/>
      <c r="R12" s="31"/>
      <c r="S12" s="32" t="s">
        <v>254</v>
      </c>
      <c r="T12" s="31" t="s">
        <v>219</v>
      </c>
      <c r="U12" s="31" t="s">
        <v>255</v>
      </c>
      <c r="V12" s="34" t="n">
        <v>21</v>
      </c>
      <c r="W12" s="35" t="n">
        <f aca="false">IF(V12="","",IFERROR(V12/O12,""))</f>
        <v>4.2</v>
      </c>
      <c r="X12" s="31" t="n">
        <v>3</v>
      </c>
      <c r="Y12" s="33" t="n">
        <v>1</v>
      </c>
      <c r="Z12" s="36" t="n">
        <v>0.5</v>
      </c>
      <c r="AA12" s="31" t="s">
        <v>183</v>
      </c>
      <c r="AB12" s="37" t="n">
        <f aca="false">IFERROR(INDEX(TABLA_IVA!$C$3:$C$6,MATCH(AA12,TABLA_IVA!$A$3:$A$6,0)),"")</f>
        <v>0.04</v>
      </c>
      <c r="AC12" s="34"/>
      <c r="AD12" s="31"/>
      <c r="AE12" s="38"/>
      <c r="AF12" s="39" t="str">
        <f aca="false">IF(OR(AC12="",AE12="",AB12=""),"",IFERROR(AC12/(1-AE12)*(1+AB12),""))</f>
        <v/>
      </c>
      <c r="AG12" s="34"/>
      <c r="AH12" s="39" t="str">
        <f aca="false">IF(AD12="FIJO",IF(AG12="","",AG12),IF(AF12&lt;&gt;"",AF12,IF(AG12="","",AG12)))</f>
        <v/>
      </c>
      <c r="AI12" s="39" t="str">
        <f aca="false">IF(OR(AH12="",AB12=""),"",IFERROR(AH12/(1+AB12),""))</f>
        <v/>
      </c>
      <c r="AJ12" s="37" t="str">
        <f aca="false">IF(OR(AI12="",AC12=""),"",IFERROR((AI12-AC12)/AI12,""))</f>
        <v/>
      </c>
      <c r="AK12" s="40" t="str">
        <f aca="false">IF(OR(AJ12="",AE12=""),"",AJ12-AE12)</f>
        <v/>
      </c>
      <c r="AL12" s="41" t="str">
        <f aca="false">IF(OR(AH12="",AF12=""),"",AH12-AF12)</f>
        <v/>
      </c>
      <c r="AM12" s="42" t="str">
        <f aca="false">IF(OR(A12="",K12&lt;&gt;"SI"),"",IF(AE12="","Sin objetivo",IF(AJ12="","Faltan datos",IF(AJ12&lt;0,"PÉRDIDA",IF(AK12&lt;-UMB_CRITICO,"MUY POR DEBAJO",IF(AK12&lt;-UMB_BAJO,"POR DEBAJO",IF(AK12&lt;-UMB_AJUSTADO,"AJUSTADO",IF(AK12&lt;=UMB_ALTO,"EN OBJETIVO","POR ENCIMA"))))))))</f>
        <v/>
      </c>
      <c r="AN12" s="31" t="s">
        <v>52</v>
      </c>
      <c r="AO12" s="31" t="s">
        <v>204</v>
      </c>
      <c r="AP12" s="33" t="n">
        <v>5</v>
      </c>
      <c r="AQ12" s="33" t="n">
        <v>25</v>
      </c>
      <c r="AR12" s="33" t="n">
        <v>10</v>
      </c>
      <c r="AS12" s="31" t="s">
        <v>205</v>
      </c>
      <c r="AT12" s="31" t="s">
        <v>186</v>
      </c>
      <c r="AU12" s="31" t="s">
        <v>52</v>
      </c>
      <c r="AV12" s="31" t="n">
        <v>30</v>
      </c>
      <c r="AW12" s="31" t="s">
        <v>206</v>
      </c>
      <c r="AX12" s="32" t="s">
        <v>256</v>
      </c>
      <c r="AY12" s="31" t="s">
        <v>189</v>
      </c>
      <c r="AZ12" s="43" t="n">
        <v>46248</v>
      </c>
      <c r="BA12" s="32"/>
    </row>
    <row r="13" customFormat="false" ht="15" hidden="false" customHeight="false" outlineLevel="0" collapsed="false">
      <c r="A13" s="31" t="s">
        <v>257</v>
      </c>
      <c r="B13" s="31"/>
      <c r="C13" s="32" t="s">
        <v>258</v>
      </c>
      <c r="D13" s="32" t="s">
        <v>259</v>
      </c>
      <c r="E13" s="31" t="s">
        <v>173</v>
      </c>
      <c r="F13" s="31" t="s">
        <v>260</v>
      </c>
      <c r="G13" s="31" t="s">
        <v>261</v>
      </c>
      <c r="H13" s="31" t="s">
        <v>193</v>
      </c>
      <c r="I13" s="31" t="s">
        <v>52</v>
      </c>
      <c r="J13" s="31" t="s">
        <v>177</v>
      </c>
      <c r="K13" s="31" t="s">
        <v>177</v>
      </c>
      <c r="L13" s="31" t="s">
        <v>177</v>
      </c>
      <c r="M13" s="31" t="s">
        <v>178</v>
      </c>
      <c r="N13" s="31" t="s">
        <v>200</v>
      </c>
      <c r="O13" s="33" t="n">
        <v>5</v>
      </c>
      <c r="P13" s="31"/>
      <c r="Q13" s="33"/>
      <c r="R13" s="31"/>
      <c r="S13" s="32" t="s">
        <v>262</v>
      </c>
      <c r="T13" s="31" t="s">
        <v>219</v>
      </c>
      <c r="U13" s="31" t="s">
        <v>263</v>
      </c>
      <c r="V13" s="34" t="n">
        <v>41</v>
      </c>
      <c r="W13" s="35" t="n">
        <f aca="false">IF(V13="","",IFERROR(V13/O13,""))</f>
        <v>8.2</v>
      </c>
      <c r="X13" s="31" t="n">
        <v>5</v>
      </c>
      <c r="Y13" s="33" t="n">
        <v>1</v>
      </c>
      <c r="Z13" s="36" t="n">
        <v>0.5</v>
      </c>
      <c r="AA13" s="31" t="s">
        <v>203</v>
      </c>
      <c r="AB13" s="37" t="n">
        <f aca="false">IFERROR(INDEX(TABLA_IVA!$C$3:$C$6,MATCH(AA13,TABLA_IVA!$A$3:$A$6,0)),"")</f>
        <v>0.1</v>
      </c>
      <c r="AC13" s="34"/>
      <c r="AD13" s="31"/>
      <c r="AE13" s="38"/>
      <c r="AF13" s="39" t="str">
        <f aca="false">IF(OR(AC13="",AE13="",AB13=""),"",IFERROR(AC13/(1-AE13)*(1+AB13),""))</f>
        <v/>
      </c>
      <c r="AG13" s="34"/>
      <c r="AH13" s="39" t="str">
        <f aca="false">IF(AD13="FIJO",IF(AG13="","",AG13),IF(AF13&lt;&gt;"",AF13,IF(AG13="","",AG13)))</f>
        <v/>
      </c>
      <c r="AI13" s="39" t="str">
        <f aca="false">IF(OR(AH13="",AB13=""),"",IFERROR(AH13/(1+AB13),""))</f>
        <v/>
      </c>
      <c r="AJ13" s="37" t="str">
        <f aca="false">IF(OR(AI13="",AC13=""),"",IFERROR((AI13-AC13)/AI13,""))</f>
        <v/>
      </c>
      <c r="AK13" s="40" t="str">
        <f aca="false">IF(OR(AJ13="",AE13=""),"",AJ13-AE13)</f>
        <v/>
      </c>
      <c r="AL13" s="41" t="str">
        <f aca="false">IF(OR(AH13="",AF13=""),"",AH13-AF13)</f>
        <v/>
      </c>
      <c r="AM13" s="42" t="str">
        <f aca="false">IF(OR(A13="",K13&lt;&gt;"SI"),"",IF(AE13="","Sin objetivo",IF(AJ13="","Faltan datos",IF(AJ13&lt;0,"PÉRDIDA",IF(AK13&lt;-UMB_CRITICO,"MUY POR DEBAJO",IF(AK13&lt;-UMB_BAJO,"POR DEBAJO",IF(AK13&lt;-UMB_AJUSTADO,"AJUSTADO",IF(AK13&lt;=UMB_ALTO,"EN OBJETIVO","POR ENCIMA"))))))))</f>
        <v/>
      </c>
      <c r="AN13" s="31" t="s">
        <v>52</v>
      </c>
      <c r="AO13" s="31" t="s">
        <v>184</v>
      </c>
      <c r="AP13" s="33" t="n">
        <v>5</v>
      </c>
      <c r="AQ13" s="33" t="n">
        <v>20</v>
      </c>
      <c r="AR13" s="33" t="n">
        <v>8</v>
      </c>
      <c r="AS13" s="31" t="s">
        <v>185</v>
      </c>
      <c r="AT13" s="31" t="s">
        <v>186</v>
      </c>
      <c r="AU13" s="31" t="s">
        <v>52</v>
      </c>
      <c r="AV13" s="31" t="n">
        <v>365</v>
      </c>
      <c r="AW13" s="31" t="s">
        <v>187</v>
      </c>
      <c r="AX13" s="32" t="s">
        <v>264</v>
      </c>
      <c r="AY13" s="31" t="s">
        <v>189</v>
      </c>
      <c r="AZ13" s="43" t="n">
        <v>46248</v>
      </c>
      <c r="BA13" s="32" t="s">
        <v>265</v>
      </c>
    </row>
    <row r="14" customFormat="false" ht="15" hidden="false" customHeight="false" outlineLevel="0" collapsed="false">
      <c r="A14" s="31" t="s">
        <v>266</v>
      </c>
      <c r="B14" s="31"/>
      <c r="C14" s="32" t="s">
        <v>267</v>
      </c>
      <c r="D14" s="32" t="s">
        <v>268</v>
      </c>
      <c r="E14" s="31" t="s">
        <v>173</v>
      </c>
      <c r="F14" s="31" t="s">
        <v>269</v>
      </c>
      <c r="G14" s="31" t="s">
        <v>270</v>
      </c>
      <c r="H14" s="31" t="s">
        <v>193</v>
      </c>
      <c r="I14" s="31" t="s">
        <v>52</v>
      </c>
      <c r="J14" s="31" t="s">
        <v>177</v>
      </c>
      <c r="K14" s="31" t="s">
        <v>177</v>
      </c>
      <c r="L14" s="31" t="s">
        <v>177</v>
      </c>
      <c r="M14" s="31" t="s">
        <v>178</v>
      </c>
      <c r="N14" s="31" t="s">
        <v>271</v>
      </c>
      <c r="O14" s="33" t="n">
        <v>1</v>
      </c>
      <c r="P14" s="31"/>
      <c r="Q14" s="33"/>
      <c r="R14" s="31"/>
      <c r="S14" s="32" t="s">
        <v>272</v>
      </c>
      <c r="T14" s="31" t="s">
        <v>219</v>
      </c>
      <c r="U14" s="31" t="s">
        <v>273</v>
      </c>
      <c r="V14" s="34" t="n">
        <v>9.8</v>
      </c>
      <c r="W14" s="35" t="n">
        <f aca="false">IF(V14="","",IFERROR(V14/O14,""))</f>
        <v>9.8</v>
      </c>
      <c r="X14" s="31" t="n">
        <v>5</v>
      </c>
      <c r="Y14" s="33" t="n">
        <v>5</v>
      </c>
      <c r="Z14" s="36" t="n">
        <v>1</v>
      </c>
      <c r="AA14" s="31" t="s">
        <v>203</v>
      </c>
      <c r="AB14" s="37" t="n">
        <f aca="false">IFERROR(INDEX(TABLA_IVA!$C$3:$C$6,MATCH(AA14,TABLA_IVA!$A$3:$A$6,0)),"")</f>
        <v>0.1</v>
      </c>
      <c r="AC14" s="34"/>
      <c r="AD14" s="31"/>
      <c r="AE14" s="38"/>
      <c r="AF14" s="39" t="str">
        <f aca="false">IF(OR(AC14="",AE14="",AB14=""),"",IFERROR(AC14/(1-AE14)*(1+AB14),""))</f>
        <v/>
      </c>
      <c r="AG14" s="34"/>
      <c r="AH14" s="39" t="str">
        <f aca="false">IF(AD14="FIJO",IF(AG14="","",AG14),IF(AF14&lt;&gt;"",AF14,IF(AG14="","",AG14)))</f>
        <v/>
      </c>
      <c r="AI14" s="39" t="str">
        <f aca="false">IF(OR(AH14="",AB14=""),"",IFERROR(AH14/(1+AB14),""))</f>
        <v/>
      </c>
      <c r="AJ14" s="37" t="str">
        <f aca="false">IF(OR(AI14="",AC14=""),"",IFERROR((AI14-AC14)/AI14,""))</f>
        <v/>
      </c>
      <c r="AK14" s="40" t="str">
        <f aca="false">IF(OR(AJ14="",AE14=""),"",AJ14-AE14)</f>
        <v/>
      </c>
      <c r="AL14" s="41" t="str">
        <f aca="false">IF(OR(AH14="",AF14=""),"",AH14-AF14)</f>
        <v/>
      </c>
      <c r="AM14" s="42" t="str">
        <f aca="false">IF(OR(A14="",K14&lt;&gt;"SI"),"",IF(AE14="","Sin objetivo",IF(AJ14="","Faltan datos",IF(AJ14&lt;0,"PÉRDIDA",IF(AK14&lt;-UMB_CRITICO,"MUY POR DEBAJO",IF(AK14&lt;-UMB_BAJO,"POR DEBAJO",IF(AK14&lt;-UMB_AJUSTADO,"AJUSTADO",IF(AK14&lt;=UMB_ALTO,"EN OBJETIVO","POR ENCIMA"))))))))</f>
        <v/>
      </c>
      <c r="AN14" s="31" t="s">
        <v>52</v>
      </c>
      <c r="AO14" s="31" t="s">
        <v>184</v>
      </c>
      <c r="AP14" s="33" t="n">
        <v>3</v>
      </c>
      <c r="AQ14" s="33" t="n">
        <v>15</v>
      </c>
      <c r="AR14" s="33" t="n">
        <v>5</v>
      </c>
      <c r="AS14" s="31" t="s">
        <v>185</v>
      </c>
      <c r="AT14" s="31" t="s">
        <v>221</v>
      </c>
      <c r="AU14" s="31" t="s">
        <v>52</v>
      </c>
      <c r="AV14" s="31" t="n">
        <v>180</v>
      </c>
      <c r="AW14" s="31" t="s">
        <v>187</v>
      </c>
      <c r="AX14" s="32" t="s">
        <v>274</v>
      </c>
      <c r="AY14" s="31" t="s">
        <v>189</v>
      </c>
      <c r="AZ14" s="43" t="n">
        <v>46248</v>
      </c>
      <c r="BA14" s="32"/>
    </row>
    <row r="15" customFormat="false" ht="15" hidden="false" customHeight="false" outlineLevel="0" collapsed="false">
      <c r="A15" s="31" t="s">
        <v>275</v>
      </c>
      <c r="B15" s="31"/>
      <c r="C15" s="32" t="s">
        <v>276</v>
      </c>
      <c r="D15" s="32" t="s">
        <v>277</v>
      </c>
      <c r="E15" s="31" t="s">
        <v>278</v>
      </c>
      <c r="F15" s="31" t="s">
        <v>279</v>
      </c>
      <c r="G15" s="31" t="s">
        <v>280</v>
      </c>
      <c r="H15" s="31" t="s">
        <v>281</v>
      </c>
      <c r="I15" s="31" t="s">
        <v>52</v>
      </c>
      <c r="J15" s="31" t="s">
        <v>177</v>
      </c>
      <c r="K15" s="31" t="s">
        <v>177</v>
      </c>
      <c r="L15" s="31" t="s">
        <v>177</v>
      </c>
      <c r="M15" s="31" t="s">
        <v>282</v>
      </c>
      <c r="N15" s="31" t="s">
        <v>200</v>
      </c>
      <c r="O15" s="33" t="n">
        <v>1000</v>
      </c>
      <c r="P15" s="31"/>
      <c r="Q15" s="33"/>
      <c r="R15" s="31"/>
      <c r="S15" s="32" t="s">
        <v>283</v>
      </c>
      <c r="T15" s="31" t="s">
        <v>284</v>
      </c>
      <c r="U15" s="31" t="s">
        <v>285</v>
      </c>
      <c r="V15" s="34" t="n">
        <v>42</v>
      </c>
      <c r="W15" s="35" t="n">
        <f aca="false">IF(V15="","",IFERROR(V15/O15,""))</f>
        <v>0.042</v>
      </c>
      <c r="X15" s="31" t="n">
        <v>7</v>
      </c>
      <c r="Y15" s="33" t="n">
        <v>1</v>
      </c>
      <c r="Z15" s="36" t="n">
        <v>1</v>
      </c>
      <c r="AA15" s="31" t="s">
        <v>286</v>
      </c>
      <c r="AB15" s="37" t="n">
        <f aca="false">IFERROR(INDEX(TABLA_IVA!$C$3:$C$6,MATCH(AA15,TABLA_IVA!$A$3:$A$6,0)),"")</f>
        <v>0.21</v>
      </c>
      <c r="AC15" s="34"/>
      <c r="AD15" s="31"/>
      <c r="AE15" s="38"/>
      <c r="AF15" s="39" t="str">
        <f aca="false">IF(OR(AC15="",AE15="",AB15=""),"",IFERROR(AC15/(1-AE15)*(1+AB15),""))</f>
        <v/>
      </c>
      <c r="AG15" s="34"/>
      <c r="AH15" s="39" t="str">
        <f aca="false">IF(AD15="FIJO",IF(AG15="","",AG15),IF(AF15&lt;&gt;"",AF15,IF(AG15="","",AG15)))</f>
        <v/>
      </c>
      <c r="AI15" s="39" t="str">
        <f aca="false">IF(OR(AH15="",AB15=""),"",IFERROR(AH15/(1+AB15),""))</f>
        <v/>
      </c>
      <c r="AJ15" s="37" t="str">
        <f aca="false">IF(OR(AI15="",AC15=""),"",IFERROR((AI15-AC15)/AI15,""))</f>
        <v/>
      </c>
      <c r="AK15" s="40" t="str">
        <f aca="false">IF(OR(AJ15="",AE15=""),"",AJ15-AE15)</f>
        <v/>
      </c>
      <c r="AL15" s="41" t="str">
        <f aca="false">IF(OR(AH15="",AF15=""),"",AH15-AF15)</f>
        <v/>
      </c>
      <c r="AM15" s="42" t="str">
        <f aca="false">IF(OR(A15="",K15&lt;&gt;"SI"),"",IF(AE15="","Sin objetivo",IF(AJ15="","Faltan datos",IF(AJ15&lt;0,"PÉRDIDA",IF(AK15&lt;-UMB_CRITICO,"MUY POR DEBAJO",IF(AK15&lt;-UMB_BAJO,"POR DEBAJO",IF(AK15&lt;-UMB_AJUSTADO,"AJUSTADO",IF(AK15&lt;=UMB_ALTO,"EN OBJETIVO","POR ENCIMA"))))))))</f>
        <v/>
      </c>
      <c r="AN15" s="31" t="s">
        <v>52</v>
      </c>
      <c r="AO15" s="31" t="s">
        <v>184</v>
      </c>
      <c r="AP15" s="33" t="n">
        <v>1000</v>
      </c>
      <c r="AQ15" s="33" t="n">
        <v>6000</v>
      </c>
      <c r="AR15" s="33" t="n">
        <v>2000</v>
      </c>
      <c r="AS15" s="31" t="s">
        <v>287</v>
      </c>
      <c r="AT15" s="31" t="s">
        <v>221</v>
      </c>
      <c r="AU15" s="31" t="s">
        <v>177</v>
      </c>
      <c r="AV15" s="31"/>
      <c r="AW15" s="31" t="s">
        <v>187</v>
      </c>
      <c r="AX15" s="32"/>
      <c r="AY15" s="31" t="s">
        <v>189</v>
      </c>
      <c r="AZ15" s="43" t="n">
        <v>46248</v>
      </c>
      <c r="BA15" s="32"/>
    </row>
    <row r="16" customFormat="false" ht="15" hidden="false" customHeight="false" outlineLevel="0" collapsed="false">
      <c r="A16" s="31" t="s">
        <v>288</v>
      </c>
      <c r="B16" s="31"/>
      <c r="C16" s="32" t="s">
        <v>289</v>
      </c>
      <c r="D16" s="32" t="s">
        <v>290</v>
      </c>
      <c r="E16" s="31" t="s">
        <v>278</v>
      </c>
      <c r="F16" s="31" t="s">
        <v>279</v>
      </c>
      <c r="G16" s="31" t="s">
        <v>291</v>
      </c>
      <c r="H16" s="31" t="s">
        <v>193</v>
      </c>
      <c r="I16" s="31" t="s">
        <v>52</v>
      </c>
      <c r="J16" s="31" t="s">
        <v>177</v>
      </c>
      <c r="K16" s="31" t="s">
        <v>177</v>
      </c>
      <c r="L16" s="31" t="s">
        <v>177</v>
      </c>
      <c r="M16" s="31" t="s">
        <v>282</v>
      </c>
      <c r="N16" s="31" t="s">
        <v>200</v>
      </c>
      <c r="O16" s="33" t="n">
        <v>100</v>
      </c>
      <c r="P16" s="31"/>
      <c r="Q16" s="33"/>
      <c r="R16" s="31"/>
      <c r="S16" s="32" t="s">
        <v>292</v>
      </c>
      <c r="T16" s="31" t="s">
        <v>284</v>
      </c>
      <c r="U16" s="31" t="s">
        <v>293</v>
      </c>
      <c r="V16" s="34" t="n">
        <v>28</v>
      </c>
      <c r="W16" s="35" t="n">
        <f aca="false">IF(V16="","",IFERROR(V16/O16,""))</f>
        <v>0.28</v>
      </c>
      <c r="X16" s="31" t="n">
        <v>7</v>
      </c>
      <c r="Y16" s="33" t="n">
        <v>1</v>
      </c>
      <c r="Z16" s="36" t="n">
        <v>0</v>
      </c>
      <c r="AA16" s="31" t="s">
        <v>286</v>
      </c>
      <c r="AB16" s="37" t="n">
        <f aca="false">IFERROR(INDEX(TABLA_IVA!$C$3:$C$6,MATCH(AA16,TABLA_IVA!$A$3:$A$6,0)),"")</f>
        <v>0.21</v>
      </c>
      <c r="AC16" s="34"/>
      <c r="AD16" s="31"/>
      <c r="AE16" s="38"/>
      <c r="AF16" s="39" t="str">
        <f aca="false">IF(OR(AC16="",AE16="",AB16=""),"",IFERROR(AC16/(1-AE16)*(1+AB16),""))</f>
        <v/>
      </c>
      <c r="AG16" s="34"/>
      <c r="AH16" s="39" t="str">
        <f aca="false">IF(AD16="FIJO",IF(AG16="","",AG16),IF(AF16&lt;&gt;"",AF16,IF(AG16="","",AG16)))</f>
        <v/>
      </c>
      <c r="AI16" s="39" t="str">
        <f aca="false">IF(OR(AH16="",AB16=""),"",IFERROR(AH16/(1+AB16),""))</f>
        <v/>
      </c>
      <c r="AJ16" s="37" t="str">
        <f aca="false">IF(OR(AI16="",AC16=""),"",IFERROR((AI16-AC16)/AI16,""))</f>
        <v/>
      </c>
      <c r="AK16" s="40" t="str">
        <f aca="false">IF(OR(AJ16="",AE16=""),"",AJ16-AE16)</f>
        <v/>
      </c>
      <c r="AL16" s="41" t="str">
        <f aca="false">IF(OR(AH16="",AF16=""),"",AH16-AF16)</f>
        <v/>
      </c>
      <c r="AM16" s="42" t="str">
        <f aca="false">IF(OR(A16="",K16&lt;&gt;"SI"),"",IF(AE16="","Sin objetivo",IF(AJ16="","Faltan datos",IF(AJ16&lt;0,"PÉRDIDA",IF(AK16&lt;-UMB_CRITICO,"MUY POR DEBAJO",IF(AK16&lt;-UMB_BAJO,"POR DEBAJO",IF(AK16&lt;-UMB_AJUSTADO,"AJUSTADO",IF(AK16&lt;=UMB_ALTO,"EN OBJETIVO","POR ENCIMA"))))))))</f>
        <v/>
      </c>
      <c r="AN16" s="31" t="s">
        <v>52</v>
      </c>
      <c r="AO16" s="31" t="s">
        <v>184</v>
      </c>
      <c r="AP16" s="33" t="n">
        <v>100</v>
      </c>
      <c r="AQ16" s="33" t="n">
        <v>500</v>
      </c>
      <c r="AR16" s="33" t="n">
        <v>200</v>
      </c>
      <c r="AS16" s="31" t="s">
        <v>287</v>
      </c>
      <c r="AT16" s="31" t="s">
        <v>213</v>
      </c>
      <c r="AU16" s="31" t="s">
        <v>177</v>
      </c>
      <c r="AV16" s="31"/>
      <c r="AW16" s="31" t="s">
        <v>187</v>
      </c>
      <c r="AX16" s="32"/>
      <c r="AY16" s="31" t="s">
        <v>189</v>
      </c>
      <c r="AZ16" s="43" t="n">
        <v>46248</v>
      </c>
      <c r="BA16" s="32"/>
    </row>
    <row r="17" customFormat="false" ht="15" hidden="false" customHeight="false" outlineLevel="0" collapsed="false">
      <c r="A17" s="31" t="s">
        <v>294</v>
      </c>
      <c r="B17" s="31"/>
      <c r="C17" s="32" t="s">
        <v>295</v>
      </c>
      <c r="D17" s="32" t="s">
        <v>296</v>
      </c>
      <c r="E17" s="31" t="s">
        <v>278</v>
      </c>
      <c r="F17" s="31" t="s">
        <v>279</v>
      </c>
      <c r="G17" s="31" t="s">
        <v>297</v>
      </c>
      <c r="H17" s="31" t="s">
        <v>281</v>
      </c>
      <c r="I17" s="31" t="s">
        <v>52</v>
      </c>
      <c r="J17" s="31" t="s">
        <v>177</v>
      </c>
      <c r="K17" s="31" t="s">
        <v>177</v>
      </c>
      <c r="L17" s="31" t="s">
        <v>177</v>
      </c>
      <c r="M17" s="31" t="s">
        <v>282</v>
      </c>
      <c r="N17" s="31" t="s">
        <v>271</v>
      </c>
      <c r="O17" s="33" t="n">
        <v>500</v>
      </c>
      <c r="P17" s="31"/>
      <c r="Q17" s="33"/>
      <c r="R17" s="31"/>
      <c r="S17" s="32" t="s">
        <v>298</v>
      </c>
      <c r="T17" s="31" t="s">
        <v>284</v>
      </c>
      <c r="U17" s="31" t="s">
        <v>299</v>
      </c>
      <c r="V17" s="34" t="n">
        <v>12</v>
      </c>
      <c r="W17" s="35" t="n">
        <f aca="false">IF(V17="","",IFERROR(V17/O17,""))</f>
        <v>0.024</v>
      </c>
      <c r="X17" s="31" t="n">
        <v>10</v>
      </c>
      <c r="Y17" s="33" t="n">
        <v>1</v>
      </c>
      <c r="Z17" s="36" t="n">
        <v>0</v>
      </c>
      <c r="AA17" s="31" t="s">
        <v>286</v>
      </c>
      <c r="AB17" s="37" t="n">
        <f aca="false">IFERROR(INDEX(TABLA_IVA!$C$3:$C$6,MATCH(AA17,TABLA_IVA!$A$3:$A$6,0)),"")</f>
        <v>0.21</v>
      </c>
      <c r="AC17" s="34"/>
      <c r="AD17" s="31"/>
      <c r="AE17" s="38"/>
      <c r="AF17" s="39" t="str">
        <f aca="false">IF(OR(AC17="",AE17="",AB17=""),"",IFERROR(AC17/(1-AE17)*(1+AB17),""))</f>
        <v/>
      </c>
      <c r="AG17" s="34"/>
      <c r="AH17" s="39" t="str">
        <f aca="false">IF(AD17="FIJO",IF(AG17="","",AG17),IF(AF17&lt;&gt;"",AF17,IF(AG17="","",AG17)))</f>
        <v/>
      </c>
      <c r="AI17" s="39" t="str">
        <f aca="false">IF(OR(AH17="",AB17=""),"",IFERROR(AH17/(1+AB17),""))</f>
        <v/>
      </c>
      <c r="AJ17" s="37" t="str">
        <f aca="false">IF(OR(AI17="",AC17=""),"",IFERROR((AI17-AC17)/AI17,""))</f>
        <v/>
      </c>
      <c r="AK17" s="40" t="str">
        <f aca="false">IF(OR(AJ17="",AE17=""),"",AJ17-AE17)</f>
        <v/>
      </c>
      <c r="AL17" s="41" t="str">
        <f aca="false">IF(OR(AH17="",AF17=""),"",AH17-AF17)</f>
        <v/>
      </c>
      <c r="AM17" s="42" t="str">
        <f aca="false">IF(OR(A17="",K17&lt;&gt;"SI"),"",IF(AE17="","Sin objetivo",IF(AJ17="","Faltan datos",IF(AJ17&lt;0,"PÉRDIDA",IF(AK17&lt;-UMB_CRITICO,"MUY POR DEBAJO",IF(AK17&lt;-UMB_BAJO,"POR DEBAJO",IF(AK17&lt;-UMB_AJUSTADO,"AJUSTADO",IF(AK17&lt;=UMB_ALTO,"EN OBJETIVO","POR ENCIMA"))))))))</f>
        <v/>
      </c>
      <c r="AN17" s="31" t="s">
        <v>52</v>
      </c>
      <c r="AO17" s="31" t="s">
        <v>184</v>
      </c>
      <c r="AP17" s="33" t="n">
        <v>500</v>
      </c>
      <c r="AQ17" s="33" t="n">
        <v>3000</v>
      </c>
      <c r="AR17" s="33" t="n">
        <v>1000</v>
      </c>
      <c r="AS17" s="31" t="s">
        <v>287</v>
      </c>
      <c r="AT17" s="31" t="s">
        <v>213</v>
      </c>
      <c r="AU17" s="31" t="s">
        <v>177</v>
      </c>
      <c r="AV17" s="31"/>
      <c r="AW17" s="31" t="s">
        <v>243</v>
      </c>
      <c r="AX17" s="32"/>
      <c r="AY17" s="31" t="s">
        <v>189</v>
      </c>
      <c r="AZ17" s="43" t="n">
        <v>46248</v>
      </c>
      <c r="BA17" s="32" t="s">
        <v>300</v>
      </c>
    </row>
    <row r="18" customFormat="false" ht="15" hidden="false" customHeight="false" outlineLevel="0" collapsed="false">
      <c r="A18" s="31" t="s">
        <v>301</v>
      </c>
      <c r="B18" s="31"/>
      <c r="C18" s="32" t="s">
        <v>302</v>
      </c>
      <c r="D18" s="32" t="s">
        <v>303</v>
      </c>
      <c r="E18" s="31" t="s">
        <v>304</v>
      </c>
      <c r="F18" s="31" t="s">
        <v>305</v>
      </c>
      <c r="G18" s="31" t="s">
        <v>306</v>
      </c>
      <c r="H18" s="31" t="s">
        <v>176</v>
      </c>
      <c r="I18" s="31" t="s">
        <v>177</v>
      </c>
      <c r="J18" s="31" t="s">
        <v>52</v>
      </c>
      <c r="K18" s="31" t="s">
        <v>177</v>
      </c>
      <c r="L18" s="31" t="s">
        <v>52</v>
      </c>
      <c r="M18" s="31" t="s">
        <v>178</v>
      </c>
      <c r="N18" s="31"/>
      <c r="O18" s="33"/>
      <c r="P18" s="31"/>
      <c r="Q18" s="33"/>
      <c r="R18" s="31"/>
      <c r="S18" s="32" t="s">
        <v>307</v>
      </c>
      <c r="T18" s="31"/>
      <c r="U18" s="31"/>
      <c r="V18" s="34"/>
      <c r="W18" s="35" t="str">
        <f aca="false">IF(V18="","",IFERROR(V18/O18,""))</f>
        <v/>
      </c>
      <c r="X18" s="31"/>
      <c r="Y18" s="33"/>
      <c r="Z18" s="36" t="n">
        <v>2</v>
      </c>
      <c r="AA18" s="31" t="s">
        <v>183</v>
      </c>
      <c r="AB18" s="37" t="n">
        <f aca="false">IFERROR(INDEX(TABLA_IVA!$C$3:$C$6,MATCH(AA18,TABLA_IVA!$A$3:$A$6,0)),"")</f>
        <v>0.04</v>
      </c>
      <c r="AC18" s="34"/>
      <c r="AD18" s="31"/>
      <c r="AE18" s="38"/>
      <c r="AF18" s="39" t="str">
        <f aca="false">IF(OR(AC18="",AE18="",AB18=""),"",IFERROR(AC18/(1-AE18)*(1+AB18),""))</f>
        <v/>
      </c>
      <c r="AG18" s="34"/>
      <c r="AH18" s="39" t="str">
        <f aca="false">IF(AD18="FIJO",IF(AG18="","",AG18),IF(AF18&lt;&gt;"",AF18,IF(AG18="","",AG18)))</f>
        <v/>
      </c>
      <c r="AI18" s="39" t="str">
        <f aca="false">IF(OR(AH18="",AB18=""),"",IFERROR(AH18/(1+AB18),""))</f>
        <v/>
      </c>
      <c r="AJ18" s="37" t="str">
        <f aca="false">IF(OR(AI18="",AC18=""),"",IFERROR((AI18-AC18)/AI18,""))</f>
        <v/>
      </c>
      <c r="AK18" s="40" t="str">
        <f aca="false">IF(OR(AJ18="",AE18=""),"",AJ18-AE18)</f>
        <v/>
      </c>
      <c r="AL18" s="41" t="str">
        <f aca="false">IF(OR(AH18="",AF18=""),"",AH18-AF18)</f>
        <v/>
      </c>
      <c r="AM18" s="42" t="str">
        <f aca="false">IF(OR(A18="",K18&lt;&gt;"SI"),"",IF(AE18="","Sin objetivo",IF(AJ18="","Faltan datos",IF(AJ18&lt;0,"PÉRDIDA",IF(AK18&lt;-UMB_CRITICO,"MUY POR DEBAJO",IF(AK18&lt;-UMB_BAJO,"POR DEBAJO",IF(AK18&lt;-UMB_AJUSTADO,"AJUSTADO",IF(AK18&lt;=UMB_ALTO,"EN OBJETIVO","POR ENCIMA"))))))))</f>
        <v/>
      </c>
      <c r="AN18" s="31" t="s">
        <v>52</v>
      </c>
      <c r="AO18" s="31" t="s">
        <v>184</v>
      </c>
      <c r="AP18" s="33" t="n">
        <v>5</v>
      </c>
      <c r="AQ18" s="33" t="n">
        <v>30</v>
      </c>
      <c r="AR18" s="33" t="n">
        <v>10</v>
      </c>
      <c r="AS18" s="31" t="s">
        <v>205</v>
      </c>
      <c r="AT18" s="31" t="s">
        <v>186</v>
      </c>
      <c r="AU18" s="31" t="s">
        <v>52</v>
      </c>
      <c r="AV18" s="31" t="n">
        <v>5</v>
      </c>
      <c r="AW18" s="31" t="s">
        <v>206</v>
      </c>
      <c r="AX18" s="32" t="s">
        <v>188</v>
      </c>
      <c r="AY18" s="31" t="s">
        <v>189</v>
      </c>
      <c r="AZ18" s="43" t="n">
        <v>46248</v>
      </c>
      <c r="BA18" s="32" t="s">
        <v>308</v>
      </c>
    </row>
    <row r="19" customFormat="false" ht="15" hidden="false" customHeight="false" outlineLevel="0" collapsed="false">
      <c r="A19" s="31" t="s">
        <v>309</v>
      </c>
      <c r="B19" s="31"/>
      <c r="C19" s="32" t="s">
        <v>310</v>
      </c>
      <c r="D19" s="32" t="s">
        <v>311</v>
      </c>
      <c r="E19" s="31" t="s">
        <v>304</v>
      </c>
      <c r="F19" s="31" t="s">
        <v>305</v>
      </c>
      <c r="G19" s="31" t="s">
        <v>306</v>
      </c>
      <c r="H19" s="31" t="s">
        <v>193</v>
      </c>
      <c r="I19" s="31" t="s">
        <v>177</v>
      </c>
      <c r="J19" s="31" t="s">
        <v>52</v>
      </c>
      <c r="K19" s="31" t="s">
        <v>177</v>
      </c>
      <c r="L19" s="31" t="s">
        <v>52</v>
      </c>
      <c r="M19" s="31" t="s">
        <v>178</v>
      </c>
      <c r="N19" s="31"/>
      <c r="O19" s="33"/>
      <c r="P19" s="31"/>
      <c r="Q19" s="33"/>
      <c r="R19" s="31"/>
      <c r="S19" s="32" t="s">
        <v>312</v>
      </c>
      <c r="T19" s="31"/>
      <c r="U19" s="31"/>
      <c r="V19" s="34"/>
      <c r="W19" s="35" t="str">
        <f aca="false">IF(V19="","",IFERROR(V19/O19,""))</f>
        <v/>
      </c>
      <c r="X19" s="31"/>
      <c r="Y19" s="33"/>
      <c r="Z19" s="36" t="n">
        <v>3</v>
      </c>
      <c r="AA19" s="31" t="s">
        <v>203</v>
      </c>
      <c r="AB19" s="37" t="n">
        <f aca="false">IFERROR(INDEX(TABLA_IVA!$C$3:$C$6,MATCH(AA19,TABLA_IVA!$A$3:$A$6,0)),"")</f>
        <v>0.1</v>
      </c>
      <c r="AC19" s="34"/>
      <c r="AD19" s="31"/>
      <c r="AE19" s="38"/>
      <c r="AF19" s="39" t="str">
        <f aca="false">IF(OR(AC19="",AE19="",AB19=""),"",IFERROR(AC19/(1-AE19)*(1+AB19),""))</f>
        <v/>
      </c>
      <c r="AG19" s="34"/>
      <c r="AH19" s="39" t="str">
        <f aca="false">IF(AD19="FIJO",IF(AG19="","",AG19),IF(AF19&lt;&gt;"",AF19,IF(AG19="","",AG19)))</f>
        <v/>
      </c>
      <c r="AI19" s="39" t="str">
        <f aca="false">IF(OR(AH19="",AB19=""),"",IFERROR(AH19/(1+AB19),""))</f>
        <v/>
      </c>
      <c r="AJ19" s="37" t="str">
        <f aca="false">IF(OR(AI19="",AC19=""),"",IFERROR((AI19-AC19)/AI19,""))</f>
        <v/>
      </c>
      <c r="AK19" s="40" t="str">
        <f aca="false">IF(OR(AJ19="",AE19=""),"",AJ19-AE19)</f>
        <v/>
      </c>
      <c r="AL19" s="41" t="str">
        <f aca="false">IF(OR(AH19="",AF19=""),"",AH19-AF19)</f>
        <v/>
      </c>
      <c r="AM19" s="42" t="str">
        <f aca="false">IF(OR(A19="",K19&lt;&gt;"SI"),"",IF(AE19="","Sin objetivo",IF(AJ19="","Faltan datos",IF(AJ19&lt;0,"PÉRDIDA",IF(AK19&lt;-UMB_CRITICO,"MUY POR DEBAJO",IF(AK19&lt;-UMB_BAJO,"POR DEBAJO",IF(AK19&lt;-UMB_AJUSTADO,"AJUSTADO",IF(AK19&lt;=UMB_ALTO,"EN OBJETIVO","POR ENCIMA"))))))))</f>
        <v/>
      </c>
      <c r="AN19" s="31" t="s">
        <v>52</v>
      </c>
      <c r="AO19" s="31" t="s">
        <v>204</v>
      </c>
      <c r="AP19" s="33" t="n">
        <v>4</v>
      </c>
      <c r="AQ19" s="33" t="n">
        <v>20</v>
      </c>
      <c r="AR19" s="33" t="n">
        <v>8</v>
      </c>
      <c r="AS19" s="31" t="s">
        <v>313</v>
      </c>
      <c r="AT19" s="31" t="s">
        <v>186</v>
      </c>
      <c r="AU19" s="31" t="s">
        <v>52</v>
      </c>
      <c r="AV19" s="31" t="n">
        <v>60</v>
      </c>
      <c r="AW19" s="31" t="s">
        <v>314</v>
      </c>
      <c r="AX19" s="32" t="s">
        <v>315</v>
      </c>
      <c r="AY19" s="31" t="s">
        <v>189</v>
      </c>
      <c r="AZ19" s="43" t="n">
        <v>46248</v>
      </c>
      <c r="BA19" s="32"/>
    </row>
    <row r="20" customFormat="false" ht="15" hidden="false" customHeight="false" outlineLevel="0" collapsed="false">
      <c r="A20" s="31" t="s">
        <v>316</v>
      </c>
      <c r="B20" s="31"/>
      <c r="C20" s="32" t="s">
        <v>317</v>
      </c>
      <c r="D20" s="32" t="s">
        <v>318</v>
      </c>
      <c r="E20" s="31" t="s">
        <v>304</v>
      </c>
      <c r="F20" s="31" t="s">
        <v>305</v>
      </c>
      <c r="G20" s="31" t="s">
        <v>319</v>
      </c>
      <c r="H20" s="31" t="s">
        <v>193</v>
      </c>
      <c r="I20" s="31" t="s">
        <v>177</v>
      </c>
      <c r="J20" s="31" t="s">
        <v>52</v>
      </c>
      <c r="K20" s="31" t="s">
        <v>177</v>
      </c>
      <c r="L20" s="31" t="s">
        <v>52</v>
      </c>
      <c r="M20" s="31" t="s">
        <v>178</v>
      </c>
      <c r="N20" s="31"/>
      <c r="O20" s="33"/>
      <c r="P20" s="31"/>
      <c r="Q20" s="33"/>
      <c r="R20" s="31"/>
      <c r="S20" s="32" t="s">
        <v>320</v>
      </c>
      <c r="T20" s="31"/>
      <c r="U20" s="31"/>
      <c r="V20" s="34"/>
      <c r="W20" s="35" t="str">
        <f aca="false">IF(V20="","",IFERROR(V20/O20,""))</f>
        <v/>
      </c>
      <c r="X20" s="31"/>
      <c r="Y20" s="33"/>
      <c r="Z20" s="36" t="n">
        <v>2</v>
      </c>
      <c r="AA20" s="31" t="s">
        <v>203</v>
      </c>
      <c r="AB20" s="37" t="n">
        <f aca="false">IFERROR(INDEX(TABLA_IVA!$C$3:$C$6,MATCH(AA20,TABLA_IVA!$A$3:$A$6,0)),"")</f>
        <v>0.1</v>
      </c>
      <c r="AC20" s="34"/>
      <c r="AD20" s="31"/>
      <c r="AE20" s="38"/>
      <c r="AF20" s="39" t="str">
        <f aca="false">IF(OR(AC20="",AE20="",AB20=""),"",IFERROR(AC20/(1-AE20)*(1+AB20),""))</f>
        <v/>
      </c>
      <c r="AG20" s="34"/>
      <c r="AH20" s="39" t="str">
        <f aca="false">IF(AD20="FIJO",IF(AG20="","",AG20),IF(AF20&lt;&gt;"",AF20,IF(AG20="","",AG20)))</f>
        <v/>
      </c>
      <c r="AI20" s="39" t="str">
        <f aca="false">IF(OR(AH20="",AB20=""),"",IFERROR(AH20/(1+AB20),""))</f>
        <v/>
      </c>
      <c r="AJ20" s="37" t="str">
        <f aca="false">IF(OR(AI20="",AC20=""),"",IFERROR((AI20-AC20)/AI20,""))</f>
        <v/>
      </c>
      <c r="AK20" s="40" t="str">
        <f aca="false">IF(OR(AJ20="",AE20=""),"",AJ20-AE20)</f>
        <v/>
      </c>
      <c r="AL20" s="41" t="str">
        <f aca="false">IF(OR(AH20="",AF20=""),"",AH20-AF20)</f>
        <v/>
      </c>
      <c r="AM20" s="42" t="str">
        <f aca="false">IF(OR(A20="",K20&lt;&gt;"SI"),"",IF(AE20="","Sin objetivo",IF(AJ20="","Faltan datos",IF(AJ20&lt;0,"PÉRDIDA",IF(AK20&lt;-UMB_CRITICO,"MUY POR DEBAJO",IF(AK20&lt;-UMB_BAJO,"POR DEBAJO",IF(AK20&lt;-UMB_AJUSTADO,"AJUSTADO",IF(AK20&lt;=UMB_ALTO,"EN OBJETIVO","POR ENCIMA"))))))))</f>
        <v/>
      </c>
      <c r="AN20" s="31" t="s">
        <v>52</v>
      </c>
      <c r="AO20" s="31" t="s">
        <v>204</v>
      </c>
      <c r="AP20" s="33" t="n">
        <v>3</v>
      </c>
      <c r="AQ20" s="33" t="n">
        <v>15</v>
      </c>
      <c r="AR20" s="33" t="n">
        <v>5</v>
      </c>
      <c r="AS20" s="31" t="s">
        <v>205</v>
      </c>
      <c r="AT20" s="31" t="s">
        <v>186</v>
      </c>
      <c r="AU20" s="31" t="s">
        <v>52</v>
      </c>
      <c r="AV20" s="31" t="n">
        <v>3</v>
      </c>
      <c r="AW20" s="31" t="s">
        <v>206</v>
      </c>
      <c r="AX20" s="32" t="s">
        <v>321</v>
      </c>
      <c r="AY20" s="31" t="s">
        <v>189</v>
      </c>
      <c r="AZ20" s="43" t="n">
        <v>46248</v>
      </c>
      <c r="BA20" s="32" t="s">
        <v>322</v>
      </c>
    </row>
    <row r="21" customFormat="false" ht="15" hidden="false" customHeight="false" outlineLevel="0" collapsed="false">
      <c r="A21" s="31" t="s">
        <v>323</v>
      </c>
      <c r="B21" s="31"/>
      <c r="C21" s="32" t="s">
        <v>324</v>
      </c>
      <c r="D21" s="32" t="s">
        <v>325</v>
      </c>
      <c r="E21" s="31" t="s">
        <v>304</v>
      </c>
      <c r="F21" s="31" t="s">
        <v>305</v>
      </c>
      <c r="G21" s="31" t="s">
        <v>326</v>
      </c>
      <c r="H21" s="31" t="s">
        <v>193</v>
      </c>
      <c r="I21" s="31" t="s">
        <v>177</v>
      </c>
      <c r="J21" s="31" t="s">
        <v>52</v>
      </c>
      <c r="K21" s="31" t="s">
        <v>177</v>
      </c>
      <c r="L21" s="31" t="s">
        <v>52</v>
      </c>
      <c r="M21" s="31" t="s">
        <v>282</v>
      </c>
      <c r="N21" s="31"/>
      <c r="O21" s="33"/>
      <c r="P21" s="31"/>
      <c r="Q21" s="33"/>
      <c r="R21" s="31" t="n">
        <v>600</v>
      </c>
      <c r="S21" s="32" t="s">
        <v>327</v>
      </c>
      <c r="T21" s="31"/>
      <c r="U21" s="31"/>
      <c r="V21" s="34"/>
      <c r="W21" s="35" t="str">
        <f aca="false">IF(V21="","",IFERROR(V21/O21,""))</f>
        <v/>
      </c>
      <c r="X21" s="31"/>
      <c r="Y21" s="33"/>
      <c r="Z21" s="36" t="n">
        <v>4</v>
      </c>
      <c r="AA21" s="31" t="s">
        <v>203</v>
      </c>
      <c r="AB21" s="37" t="n">
        <f aca="false">IFERROR(INDEX(TABLA_IVA!$C$3:$C$6,MATCH(AA21,TABLA_IVA!$A$3:$A$6,0)),"")</f>
        <v>0.1</v>
      </c>
      <c r="AC21" s="34"/>
      <c r="AD21" s="31"/>
      <c r="AE21" s="38"/>
      <c r="AF21" s="39" t="str">
        <f aca="false">IF(OR(AC21="",AE21="",AB21=""),"",IFERROR(AC21/(1-AE21)*(1+AB21),""))</f>
        <v/>
      </c>
      <c r="AG21" s="34"/>
      <c r="AH21" s="39" t="str">
        <f aca="false">IF(AD21="FIJO",IF(AG21="","",AG21),IF(AF21&lt;&gt;"",AF21,IF(AG21="","",AG21)))</f>
        <v/>
      </c>
      <c r="AI21" s="39" t="str">
        <f aca="false">IF(OR(AH21="",AB21=""),"",IFERROR(AH21/(1+AB21),""))</f>
        <v/>
      </c>
      <c r="AJ21" s="37" t="str">
        <f aca="false">IF(OR(AI21="",AC21=""),"",IFERROR((AI21-AC21)/AI21,""))</f>
        <v/>
      </c>
      <c r="AK21" s="40" t="str">
        <f aca="false">IF(OR(AJ21="",AE21=""),"",AJ21-AE21)</f>
        <v/>
      </c>
      <c r="AL21" s="41" t="str">
        <f aca="false">IF(OR(AH21="",AF21=""),"",AH21-AF21)</f>
        <v/>
      </c>
      <c r="AM21" s="42" t="str">
        <f aca="false">IF(OR(A21="",K21&lt;&gt;"SI"),"",IF(AE21="","Sin objetivo",IF(AJ21="","Faltan datos",IF(AJ21&lt;0,"PÉRDIDA",IF(AK21&lt;-UMB_CRITICO,"MUY POR DEBAJO",IF(AK21&lt;-UMB_BAJO,"POR DEBAJO",IF(AK21&lt;-UMB_AJUSTADO,"AJUSTADO",IF(AK21&lt;=UMB_ALTO,"EN OBJETIVO","POR ENCIMA"))))))))</f>
        <v/>
      </c>
      <c r="AN21" s="31" t="s">
        <v>52</v>
      </c>
      <c r="AO21" s="31" t="s">
        <v>204</v>
      </c>
      <c r="AP21" s="33" t="n">
        <v>5</v>
      </c>
      <c r="AQ21" s="33" t="n">
        <v>30</v>
      </c>
      <c r="AR21" s="33" t="n">
        <v>10</v>
      </c>
      <c r="AS21" s="31" t="s">
        <v>313</v>
      </c>
      <c r="AT21" s="31" t="s">
        <v>221</v>
      </c>
      <c r="AU21" s="31" t="s">
        <v>52</v>
      </c>
      <c r="AV21" s="31" t="n">
        <v>30</v>
      </c>
      <c r="AW21" s="31" t="s">
        <v>314</v>
      </c>
      <c r="AX21" s="32" t="s">
        <v>328</v>
      </c>
      <c r="AY21" s="31" t="s">
        <v>189</v>
      </c>
      <c r="AZ21" s="43" t="n">
        <v>46248</v>
      </c>
      <c r="BA21" s="32"/>
    </row>
    <row r="22" customFormat="false" ht="15" hidden="false" customHeight="false" outlineLevel="0" collapsed="false">
      <c r="A22" s="31" t="s">
        <v>329</v>
      </c>
      <c r="B22" s="31" t="s">
        <v>330</v>
      </c>
      <c r="C22" s="32" t="s">
        <v>331</v>
      </c>
      <c r="D22" s="32" t="s">
        <v>332</v>
      </c>
      <c r="E22" s="31" t="s">
        <v>333</v>
      </c>
      <c r="F22" s="31" t="s">
        <v>334</v>
      </c>
      <c r="G22" s="31" t="s">
        <v>335</v>
      </c>
      <c r="H22" s="31" t="s">
        <v>176</v>
      </c>
      <c r="I22" s="31" t="s">
        <v>177</v>
      </c>
      <c r="J22" s="31" t="s">
        <v>52</v>
      </c>
      <c r="K22" s="31" t="s">
        <v>52</v>
      </c>
      <c r="L22" s="31" t="s">
        <v>52</v>
      </c>
      <c r="M22" s="31" t="s">
        <v>282</v>
      </c>
      <c r="N22" s="31"/>
      <c r="O22" s="33"/>
      <c r="P22" s="31" t="s">
        <v>282</v>
      </c>
      <c r="Q22" s="33" t="n">
        <v>1</v>
      </c>
      <c r="R22" s="31" t="n">
        <v>250</v>
      </c>
      <c r="S22" s="32" t="s">
        <v>336</v>
      </c>
      <c r="T22" s="31"/>
      <c r="U22" s="31"/>
      <c r="V22" s="34"/>
      <c r="W22" s="35" t="str">
        <f aca="false">IF(V22="","",IFERROR(V22/O22,""))</f>
        <v/>
      </c>
      <c r="X22" s="31"/>
      <c r="Y22" s="33"/>
      <c r="Z22" s="36" t="n">
        <v>3</v>
      </c>
      <c r="AA22" s="31" t="s">
        <v>183</v>
      </c>
      <c r="AB22" s="37" t="n">
        <f aca="false">IFERROR(INDEX(TABLA_IVA!$C$3:$C$6,MATCH(AA22,TABLA_IVA!$A$3:$A$6,0)),"")</f>
        <v>0.04</v>
      </c>
      <c r="AC22" s="34" t="n">
        <v>0.28</v>
      </c>
      <c r="AD22" s="31" t="s">
        <v>337</v>
      </c>
      <c r="AE22" s="38" t="n">
        <v>0.75</v>
      </c>
      <c r="AF22" s="39" t="n">
        <f aca="false">IF(OR(AC22="",AE22="",AB22=""),"",IFERROR(AC22/(1-AE22)*(1+AB22),""))</f>
        <v>1.1648</v>
      </c>
      <c r="AG22" s="34" t="n">
        <v>1.2</v>
      </c>
      <c r="AH22" s="39" t="n">
        <f aca="false">IF(AD22="FIJO",IF(AG22="","",AG22),IF(AF22&lt;&gt;"",AF22,IF(AG22="","",AG22)))</f>
        <v>1.2</v>
      </c>
      <c r="AI22" s="39" t="n">
        <f aca="false">IF(OR(AH22="",AB22=""),"",IFERROR(AH22/(1+AB22),""))</f>
        <v>1.15384615384615</v>
      </c>
      <c r="AJ22" s="37" t="n">
        <f aca="false">IF(OR(AI22="",AC22=""),"",IFERROR((AI22-AC22)/AI22,""))</f>
        <v>0.757333333333333</v>
      </c>
      <c r="AK22" s="40" t="n">
        <f aca="false">IF(OR(AJ22="",AE22=""),"",AJ22-AE22)</f>
        <v>0.0073333333333333</v>
      </c>
      <c r="AL22" s="41" t="n">
        <f aca="false">IF(OR(AH22="",AF22=""),"",AH22-AF22)</f>
        <v>0.0351999999999999</v>
      </c>
      <c r="AM22" s="42" t="str">
        <f aca="false">IF(OR(A22="",K22&lt;&gt;"SI"),"",IF(AE22="","Sin objetivo",IF(AJ22="","Faltan datos",IF(AJ22&lt;0,"PÉRDIDA",IF(AK22&lt;-UMB_CRITICO,"MUY POR DEBAJO",IF(AK22&lt;-UMB_BAJO,"POR DEBAJO",IF(AK22&lt;-UMB_AJUSTADO,"AJUSTADO",IF(AK22&lt;=UMB_ALTO,"EN OBJETIVO","POR ENCIMA"))))))))</f>
        <v>EN OBJETIVO</v>
      </c>
      <c r="AN22" s="31" t="s">
        <v>52</v>
      </c>
      <c r="AO22" s="31" t="s">
        <v>204</v>
      </c>
      <c r="AP22" s="33" t="n">
        <v>0</v>
      </c>
      <c r="AQ22" s="33" t="n">
        <v>0</v>
      </c>
      <c r="AR22" s="33" t="n">
        <v>0</v>
      </c>
      <c r="AS22" s="31" t="s">
        <v>338</v>
      </c>
      <c r="AT22" s="31" t="s">
        <v>186</v>
      </c>
      <c r="AU22" s="31" t="s">
        <v>52</v>
      </c>
      <c r="AV22" s="31" t="n">
        <v>1</v>
      </c>
      <c r="AW22" s="31" t="s">
        <v>243</v>
      </c>
      <c r="AX22" s="32" t="s">
        <v>188</v>
      </c>
      <c r="AY22" s="31" t="s">
        <v>189</v>
      </c>
      <c r="AZ22" s="43" t="n">
        <v>46248</v>
      </c>
      <c r="BA22" s="32"/>
    </row>
    <row r="23" customFormat="false" ht="15" hidden="false" customHeight="false" outlineLevel="0" collapsed="false">
      <c r="A23" s="31" t="s">
        <v>339</v>
      </c>
      <c r="B23" s="31" t="s">
        <v>340</v>
      </c>
      <c r="C23" s="32" t="s">
        <v>341</v>
      </c>
      <c r="D23" s="32" t="s">
        <v>342</v>
      </c>
      <c r="E23" s="31" t="s">
        <v>333</v>
      </c>
      <c r="F23" s="31" t="s">
        <v>334</v>
      </c>
      <c r="G23" s="31" t="s">
        <v>343</v>
      </c>
      <c r="H23" s="31" t="s">
        <v>176</v>
      </c>
      <c r="I23" s="31" t="s">
        <v>177</v>
      </c>
      <c r="J23" s="31" t="s">
        <v>52</v>
      </c>
      <c r="K23" s="31" t="s">
        <v>52</v>
      </c>
      <c r="L23" s="31" t="s">
        <v>52</v>
      </c>
      <c r="M23" s="31" t="s">
        <v>282</v>
      </c>
      <c r="N23" s="31"/>
      <c r="O23" s="33"/>
      <c r="P23" s="31" t="s">
        <v>282</v>
      </c>
      <c r="Q23" s="33" t="n">
        <v>1</v>
      </c>
      <c r="R23" s="31" t="n">
        <v>500</v>
      </c>
      <c r="S23" s="32" t="s">
        <v>344</v>
      </c>
      <c r="T23" s="31"/>
      <c r="U23" s="31"/>
      <c r="V23" s="34"/>
      <c r="W23" s="35" t="str">
        <f aca="false">IF(V23="","",IFERROR(V23/O23,""))</f>
        <v/>
      </c>
      <c r="X23" s="31"/>
      <c r="Y23" s="33"/>
      <c r="Z23" s="36" t="n">
        <v>3</v>
      </c>
      <c r="AA23" s="31" t="s">
        <v>183</v>
      </c>
      <c r="AB23" s="37" t="n">
        <f aca="false">IFERROR(INDEX(TABLA_IVA!$C$3:$C$6,MATCH(AA23,TABLA_IVA!$A$3:$A$6,0)),"")</f>
        <v>0.04</v>
      </c>
      <c r="AC23" s="34" t="n">
        <v>0.52</v>
      </c>
      <c r="AD23" s="31" t="s">
        <v>337</v>
      </c>
      <c r="AE23" s="38" t="n">
        <v>0.75</v>
      </c>
      <c r="AF23" s="39" t="n">
        <f aca="false">IF(OR(AC23="",AE23="",AB23=""),"",IFERROR(AC23/(1-AE23)*(1+AB23),""))</f>
        <v>2.1632</v>
      </c>
      <c r="AG23" s="34" t="n">
        <v>2.4</v>
      </c>
      <c r="AH23" s="39" t="n">
        <f aca="false">IF(AD23="FIJO",IF(AG23="","",AG23),IF(AF23&lt;&gt;"",AF23,IF(AG23="","",AG23)))</f>
        <v>2.4</v>
      </c>
      <c r="AI23" s="39" t="n">
        <f aca="false">IF(OR(AH23="",AB23=""),"",IFERROR(AH23/(1+AB23),""))</f>
        <v>2.30769230769231</v>
      </c>
      <c r="AJ23" s="37" t="n">
        <f aca="false">IF(OR(AI23="",AC23=""),"",IFERROR((AI23-AC23)/AI23,""))</f>
        <v>0.774666666666667</v>
      </c>
      <c r="AK23" s="40" t="n">
        <f aca="false">IF(OR(AJ23="",AE23=""),"",AJ23-AE23)</f>
        <v>0.0246666666666666</v>
      </c>
      <c r="AL23" s="41" t="n">
        <f aca="false">IF(OR(AH23="",AF23=""),"",AH23-AF23)</f>
        <v>0.2368</v>
      </c>
      <c r="AM23" s="42" t="str">
        <f aca="false">IF(OR(A23="",K23&lt;&gt;"SI"),"",IF(AE23="","Sin objetivo",IF(AJ23="","Faltan datos",IF(AJ23&lt;0,"PÉRDIDA",IF(AK23&lt;-UMB_CRITICO,"MUY POR DEBAJO",IF(AK23&lt;-UMB_BAJO,"POR DEBAJO",IF(AK23&lt;-UMB_AJUSTADO,"AJUSTADO",IF(AK23&lt;=UMB_ALTO,"EN OBJETIVO","POR ENCIMA"))))))))</f>
        <v>EN OBJETIVO</v>
      </c>
      <c r="AN23" s="31" t="s">
        <v>52</v>
      </c>
      <c r="AO23" s="31" t="s">
        <v>204</v>
      </c>
      <c r="AP23" s="33" t="n">
        <v>0</v>
      </c>
      <c r="AQ23" s="33" t="n">
        <v>0</v>
      </c>
      <c r="AR23" s="33" t="n">
        <v>0</v>
      </c>
      <c r="AS23" s="31" t="s">
        <v>338</v>
      </c>
      <c r="AT23" s="31" t="s">
        <v>186</v>
      </c>
      <c r="AU23" s="31" t="s">
        <v>52</v>
      </c>
      <c r="AV23" s="31" t="n">
        <v>2</v>
      </c>
      <c r="AW23" s="31" t="s">
        <v>243</v>
      </c>
      <c r="AX23" s="32" t="s">
        <v>188</v>
      </c>
      <c r="AY23" s="31" t="s">
        <v>189</v>
      </c>
      <c r="AZ23" s="43" t="n">
        <v>46248</v>
      </c>
      <c r="BA23" s="32"/>
    </row>
    <row r="24" customFormat="false" ht="15" hidden="false" customHeight="false" outlineLevel="0" collapsed="false">
      <c r="A24" s="31" t="s">
        <v>345</v>
      </c>
      <c r="B24" s="31" t="s">
        <v>346</v>
      </c>
      <c r="C24" s="32" t="s">
        <v>347</v>
      </c>
      <c r="D24" s="32" t="s">
        <v>348</v>
      </c>
      <c r="E24" s="31" t="s">
        <v>333</v>
      </c>
      <c r="F24" s="31" t="s">
        <v>334</v>
      </c>
      <c r="G24" s="31" t="s">
        <v>349</v>
      </c>
      <c r="H24" s="31" t="s">
        <v>176</v>
      </c>
      <c r="I24" s="31" t="s">
        <v>177</v>
      </c>
      <c r="J24" s="31" t="s">
        <v>52</v>
      </c>
      <c r="K24" s="31" t="s">
        <v>52</v>
      </c>
      <c r="L24" s="31" t="s">
        <v>52</v>
      </c>
      <c r="M24" s="31" t="s">
        <v>282</v>
      </c>
      <c r="N24" s="31"/>
      <c r="O24" s="33"/>
      <c r="P24" s="31" t="s">
        <v>282</v>
      </c>
      <c r="Q24" s="33" t="n">
        <v>1</v>
      </c>
      <c r="R24" s="31" t="n">
        <v>200</v>
      </c>
      <c r="S24" s="32" t="s">
        <v>350</v>
      </c>
      <c r="T24" s="31"/>
      <c r="U24" s="31"/>
      <c r="V24" s="34"/>
      <c r="W24" s="35" t="str">
        <f aca="false">IF(V24="","",IFERROR(V24/O24,""))</f>
        <v/>
      </c>
      <c r="X24" s="31"/>
      <c r="Y24" s="33"/>
      <c r="Z24" s="36" t="n">
        <v>3</v>
      </c>
      <c r="AA24" s="31" t="s">
        <v>183</v>
      </c>
      <c r="AB24" s="37" t="n">
        <f aca="false">IFERROR(INDEX(TABLA_IVA!$C$3:$C$6,MATCH(AA24,TABLA_IVA!$A$3:$A$6,0)),"")</f>
        <v>0.04</v>
      </c>
      <c r="AC24" s="34" t="n">
        <v>0.24</v>
      </c>
      <c r="AD24" s="31" t="s">
        <v>337</v>
      </c>
      <c r="AE24" s="38" t="n">
        <v>0.75</v>
      </c>
      <c r="AF24" s="39" t="n">
        <f aca="false">IF(OR(AC24="",AE24="",AB24=""),"",IFERROR(AC24/(1-AE24)*(1+AB24),""))</f>
        <v>0.9984</v>
      </c>
      <c r="AG24" s="34" t="n">
        <v>1.1</v>
      </c>
      <c r="AH24" s="39" t="n">
        <f aca="false">IF(AD24="FIJO",IF(AG24="","",AG24),IF(AF24&lt;&gt;"",AF24,IF(AG24="","",AG24)))</f>
        <v>1.1</v>
      </c>
      <c r="AI24" s="39" t="n">
        <f aca="false">IF(OR(AH24="",AB24=""),"",IFERROR(AH24/(1+AB24),""))</f>
        <v>1.05769230769231</v>
      </c>
      <c r="AJ24" s="37" t="n">
        <f aca="false">IF(OR(AI24="",AC24=""),"",IFERROR((AI24-AC24)/AI24,""))</f>
        <v>0.773090909090909</v>
      </c>
      <c r="AK24" s="40" t="n">
        <f aca="false">IF(OR(AJ24="",AE24=""),"",AJ24-AE24)</f>
        <v>0.0230909090909091</v>
      </c>
      <c r="AL24" s="41" t="n">
        <f aca="false">IF(OR(AH24="",AF24=""),"",AH24-AF24)</f>
        <v>0.1016</v>
      </c>
      <c r="AM24" s="42" t="str">
        <f aca="false">IF(OR(A24="",K24&lt;&gt;"SI"),"",IF(AE24="","Sin objetivo",IF(AJ24="","Faltan datos",IF(AJ24&lt;0,"PÉRDIDA",IF(AK24&lt;-UMB_CRITICO,"MUY POR DEBAJO",IF(AK24&lt;-UMB_BAJO,"POR DEBAJO",IF(AK24&lt;-UMB_AJUSTADO,"AJUSTADO",IF(AK24&lt;=UMB_ALTO,"EN OBJETIVO","POR ENCIMA"))))))))</f>
        <v>EN OBJETIVO</v>
      </c>
      <c r="AN24" s="31" t="s">
        <v>52</v>
      </c>
      <c r="AO24" s="31" t="s">
        <v>204</v>
      </c>
      <c r="AP24" s="33" t="n">
        <v>0</v>
      </c>
      <c r="AQ24" s="33" t="n">
        <v>0</v>
      </c>
      <c r="AR24" s="33" t="n">
        <v>0</v>
      </c>
      <c r="AS24" s="31" t="s">
        <v>338</v>
      </c>
      <c r="AT24" s="31" t="s">
        <v>221</v>
      </c>
      <c r="AU24" s="31" t="s">
        <v>52</v>
      </c>
      <c r="AV24" s="31" t="n">
        <v>1</v>
      </c>
      <c r="AW24" s="31" t="s">
        <v>243</v>
      </c>
      <c r="AX24" s="32" t="s">
        <v>188</v>
      </c>
      <c r="AY24" s="31" t="s">
        <v>189</v>
      </c>
      <c r="AZ24" s="43" t="n">
        <v>46248</v>
      </c>
      <c r="BA24" s="32"/>
    </row>
    <row r="25" customFormat="false" ht="15" hidden="false" customHeight="false" outlineLevel="0" collapsed="false">
      <c r="A25" s="31" t="s">
        <v>351</v>
      </c>
      <c r="B25" s="31" t="s">
        <v>352</v>
      </c>
      <c r="C25" s="32" t="s">
        <v>353</v>
      </c>
      <c r="D25" s="32" t="s">
        <v>354</v>
      </c>
      <c r="E25" s="31" t="s">
        <v>333</v>
      </c>
      <c r="F25" s="31" t="s">
        <v>334</v>
      </c>
      <c r="G25" s="31" t="s">
        <v>355</v>
      </c>
      <c r="H25" s="31" t="s">
        <v>176</v>
      </c>
      <c r="I25" s="31" t="s">
        <v>177</v>
      </c>
      <c r="J25" s="31" t="s">
        <v>52</v>
      </c>
      <c r="K25" s="31" t="s">
        <v>52</v>
      </c>
      <c r="L25" s="31" t="s">
        <v>52</v>
      </c>
      <c r="M25" s="31" t="s">
        <v>282</v>
      </c>
      <c r="N25" s="31"/>
      <c r="O25" s="33"/>
      <c r="P25" s="31" t="s">
        <v>282</v>
      </c>
      <c r="Q25" s="33" t="n">
        <v>1</v>
      </c>
      <c r="R25" s="31" t="n">
        <v>750</v>
      </c>
      <c r="S25" s="32" t="s">
        <v>356</v>
      </c>
      <c r="T25" s="31"/>
      <c r="U25" s="31"/>
      <c r="V25" s="34"/>
      <c r="W25" s="35" t="str">
        <f aca="false">IF(V25="","",IFERROR(V25/O25,""))</f>
        <v/>
      </c>
      <c r="X25" s="31"/>
      <c r="Y25" s="33"/>
      <c r="Z25" s="36" t="n">
        <v>4</v>
      </c>
      <c r="AA25" s="31" t="s">
        <v>183</v>
      </c>
      <c r="AB25" s="37" t="n">
        <f aca="false">IFERROR(INDEX(TABLA_IVA!$C$3:$C$6,MATCH(AA25,TABLA_IVA!$A$3:$A$6,0)),"")</f>
        <v>0.04</v>
      </c>
      <c r="AC25" s="34" t="n">
        <v>0.95</v>
      </c>
      <c r="AD25" s="31" t="s">
        <v>337</v>
      </c>
      <c r="AE25" s="38" t="n">
        <v>0.75</v>
      </c>
      <c r="AF25" s="39" t="n">
        <f aca="false">IF(OR(AC25="",AE25="",AB25=""),"",IFERROR(AC25/(1-AE25)*(1+AB25),""))</f>
        <v>3.952</v>
      </c>
      <c r="AG25" s="34" t="n">
        <v>3.2</v>
      </c>
      <c r="AH25" s="39" t="n">
        <f aca="false">IF(AD25="FIJO",IF(AG25="","",AG25),IF(AF25&lt;&gt;"",AF25,IF(AG25="","",AG25)))</f>
        <v>3.2</v>
      </c>
      <c r="AI25" s="39" t="n">
        <f aca="false">IF(OR(AH25="",AB25=""),"",IFERROR(AH25/(1+AB25),""))</f>
        <v>3.07692307692308</v>
      </c>
      <c r="AJ25" s="37" t="n">
        <f aca="false">IF(OR(AI25="",AC25=""),"",IFERROR((AI25-AC25)/AI25,""))</f>
        <v>0.69125</v>
      </c>
      <c r="AK25" s="40" t="n">
        <f aca="false">IF(OR(AJ25="",AE25=""),"",AJ25-AE25)</f>
        <v>-0.0587499999999999</v>
      </c>
      <c r="AL25" s="41" t="n">
        <f aca="false">IF(OR(AH25="",AF25=""),"",AH25-AF25)</f>
        <v>-0.752</v>
      </c>
      <c r="AM25" s="42" t="str">
        <f aca="false">IF(OR(A25="",K25&lt;&gt;"SI"),"",IF(AE25="","Sin objetivo",IF(AJ25="","Faltan datos",IF(AJ25&lt;0,"PÉRDIDA",IF(AK25&lt;-UMB_CRITICO,"MUY POR DEBAJO",IF(AK25&lt;-UMB_BAJO,"POR DEBAJO",IF(AK25&lt;-UMB_AJUSTADO,"AJUSTADO",IF(AK25&lt;=UMB_ALTO,"EN OBJETIVO","POR ENCIMA"))))))))</f>
        <v>POR DEBAJO</v>
      </c>
      <c r="AN25" s="31" t="s">
        <v>52</v>
      </c>
      <c r="AO25" s="31" t="s">
        <v>204</v>
      </c>
      <c r="AP25" s="33" t="n">
        <v>0</v>
      </c>
      <c r="AQ25" s="33" t="n">
        <v>0</v>
      </c>
      <c r="AR25" s="33" t="n">
        <v>0</v>
      </c>
      <c r="AS25" s="31" t="s">
        <v>338</v>
      </c>
      <c r="AT25" s="31" t="s">
        <v>221</v>
      </c>
      <c r="AU25" s="31" t="s">
        <v>52</v>
      </c>
      <c r="AV25" s="31" t="n">
        <v>5</v>
      </c>
      <c r="AW25" s="31" t="s">
        <v>243</v>
      </c>
      <c r="AX25" s="32" t="s">
        <v>357</v>
      </c>
      <c r="AY25" s="31" t="s">
        <v>189</v>
      </c>
      <c r="AZ25" s="43" t="n">
        <v>46248</v>
      </c>
      <c r="BA25" s="32" t="s">
        <v>358</v>
      </c>
    </row>
    <row r="26" customFormat="false" ht="15" hidden="false" customHeight="false" outlineLevel="0" collapsed="false">
      <c r="A26" s="31" t="s">
        <v>359</v>
      </c>
      <c r="B26" s="31" t="s">
        <v>360</v>
      </c>
      <c r="C26" s="32" t="s">
        <v>361</v>
      </c>
      <c r="D26" s="32" t="s">
        <v>362</v>
      </c>
      <c r="E26" s="31" t="s">
        <v>333</v>
      </c>
      <c r="F26" s="31" t="s">
        <v>363</v>
      </c>
      <c r="G26" s="31" t="s">
        <v>364</v>
      </c>
      <c r="H26" s="31" t="s">
        <v>193</v>
      </c>
      <c r="I26" s="31" t="s">
        <v>177</v>
      </c>
      <c r="J26" s="31" t="s">
        <v>52</v>
      </c>
      <c r="K26" s="31" t="s">
        <v>52</v>
      </c>
      <c r="L26" s="31" t="s">
        <v>52</v>
      </c>
      <c r="M26" s="31" t="s">
        <v>282</v>
      </c>
      <c r="N26" s="31"/>
      <c r="O26" s="33"/>
      <c r="P26" s="31" t="s">
        <v>282</v>
      </c>
      <c r="Q26" s="33" t="n">
        <v>1</v>
      </c>
      <c r="R26" s="31" t="n">
        <v>70</v>
      </c>
      <c r="S26" s="32" t="s">
        <v>365</v>
      </c>
      <c r="T26" s="31"/>
      <c r="U26" s="31"/>
      <c r="V26" s="34"/>
      <c r="W26" s="35" t="str">
        <f aca="false">IF(V26="","",IFERROR(V26/O26,""))</f>
        <v/>
      </c>
      <c r="X26" s="31"/>
      <c r="Y26" s="33"/>
      <c r="Z26" s="36" t="n">
        <v>4</v>
      </c>
      <c r="AA26" s="31" t="s">
        <v>203</v>
      </c>
      <c r="AB26" s="37" t="n">
        <f aca="false">IFERROR(INDEX(TABLA_IVA!$C$3:$C$6,MATCH(AA26,TABLA_IVA!$A$3:$A$6,0)),"")</f>
        <v>0.1</v>
      </c>
      <c r="AC26" s="34" t="n">
        <v>0.42</v>
      </c>
      <c r="AD26" s="31" t="s">
        <v>337</v>
      </c>
      <c r="AE26" s="38" t="n">
        <v>0.72</v>
      </c>
      <c r="AF26" s="39" t="n">
        <f aca="false">IF(OR(AC26="",AE26="",AB26=""),"",IFERROR(AC26/(1-AE26)*(1+AB26),""))</f>
        <v>1.65</v>
      </c>
      <c r="AG26" s="34" t="n">
        <v>1.6</v>
      </c>
      <c r="AH26" s="39" t="n">
        <f aca="false">IF(AD26="FIJO",IF(AG26="","",AG26),IF(AF26&lt;&gt;"",AF26,IF(AG26="","",AG26)))</f>
        <v>1.6</v>
      </c>
      <c r="AI26" s="39" t="n">
        <f aca="false">IF(OR(AH26="",AB26=""),"",IFERROR(AH26/(1+AB26),""))</f>
        <v>1.45454545454545</v>
      </c>
      <c r="AJ26" s="37" t="n">
        <f aca="false">IF(OR(AI26="",AC26=""),"",IFERROR((AI26-AC26)/AI26,""))</f>
        <v>0.71125</v>
      </c>
      <c r="AK26" s="40" t="n">
        <f aca="false">IF(OR(AJ26="",AE26=""),"",AJ26-AE26)</f>
        <v>-0.00874999999999993</v>
      </c>
      <c r="AL26" s="41" t="n">
        <f aca="false">IF(OR(AH26="",AF26=""),"",AH26-AF26)</f>
        <v>-0.0499999999999998</v>
      </c>
      <c r="AM26" s="42" t="str">
        <f aca="false">IF(OR(A26="",K26&lt;&gt;"SI"),"",IF(AE26="","Sin objetivo",IF(AJ26="","Faltan datos",IF(AJ26&lt;0,"PÉRDIDA",IF(AK26&lt;-UMB_CRITICO,"MUY POR DEBAJO",IF(AK26&lt;-UMB_BAJO,"POR DEBAJO",IF(AK26&lt;-UMB_AJUSTADO,"AJUSTADO",IF(AK26&lt;=UMB_ALTO,"EN OBJETIVO","POR ENCIMA"))))))))</f>
        <v>EN OBJETIVO</v>
      </c>
      <c r="AN26" s="31" t="s">
        <v>52</v>
      </c>
      <c r="AO26" s="31" t="s">
        <v>204</v>
      </c>
      <c r="AP26" s="33" t="n">
        <v>0</v>
      </c>
      <c r="AQ26" s="33" t="n">
        <v>0</v>
      </c>
      <c r="AR26" s="33" t="n">
        <v>0</v>
      </c>
      <c r="AS26" s="31" t="s">
        <v>338</v>
      </c>
      <c r="AT26" s="31" t="s">
        <v>186</v>
      </c>
      <c r="AU26" s="31" t="s">
        <v>52</v>
      </c>
      <c r="AV26" s="31" t="n">
        <v>1</v>
      </c>
      <c r="AW26" s="31" t="s">
        <v>243</v>
      </c>
      <c r="AX26" s="32" t="s">
        <v>366</v>
      </c>
      <c r="AY26" s="31" t="s">
        <v>189</v>
      </c>
      <c r="AZ26" s="43" t="n">
        <v>46248</v>
      </c>
      <c r="BA26" s="32"/>
    </row>
    <row r="27" customFormat="false" ht="15" hidden="false" customHeight="false" outlineLevel="0" collapsed="false">
      <c r="A27" s="31" t="s">
        <v>367</v>
      </c>
      <c r="B27" s="31" t="s">
        <v>368</v>
      </c>
      <c r="C27" s="32" t="s">
        <v>369</v>
      </c>
      <c r="D27" s="32" t="s">
        <v>370</v>
      </c>
      <c r="E27" s="31" t="s">
        <v>333</v>
      </c>
      <c r="F27" s="31" t="s">
        <v>363</v>
      </c>
      <c r="G27" s="31" t="s">
        <v>364</v>
      </c>
      <c r="H27" s="31" t="s">
        <v>193</v>
      </c>
      <c r="I27" s="31" t="s">
        <v>177</v>
      </c>
      <c r="J27" s="31" t="s">
        <v>52</v>
      </c>
      <c r="K27" s="31" t="s">
        <v>52</v>
      </c>
      <c r="L27" s="31" t="s">
        <v>52</v>
      </c>
      <c r="M27" s="31" t="s">
        <v>282</v>
      </c>
      <c r="N27" s="31"/>
      <c r="O27" s="33"/>
      <c r="P27" s="31" t="s">
        <v>282</v>
      </c>
      <c r="Q27" s="33" t="n">
        <v>1</v>
      </c>
      <c r="R27" s="31" t="n">
        <v>90</v>
      </c>
      <c r="S27" s="32" t="s">
        <v>371</v>
      </c>
      <c r="T27" s="31"/>
      <c r="U27" s="31"/>
      <c r="V27" s="34"/>
      <c r="W27" s="35" t="str">
        <f aca="false">IF(V27="","",IFERROR(V27/O27,""))</f>
        <v/>
      </c>
      <c r="X27" s="31"/>
      <c r="Y27" s="33"/>
      <c r="Z27" s="36" t="n">
        <v>4</v>
      </c>
      <c r="AA27" s="31" t="s">
        <v>203</v>
      </c>
      <c r="AB27" s="37" t="n">
        <f aca="false">IFERROR(INDEX(TABLA_IVA!$C$3:$C$6,MATCH(AA27,TABLA_IVA!$A$3:$A$6,0)),"")</f>
        <v>0.1</v>
      </c>
      <c r="AC27" s="34" t="n">
        <v>0.48</v>
      </c>
      <c r="AD27" s="31" t="s">
        <v>337</v>
      </c>
      <c r="AE27" s="38" t="n">
        <v>0.72</v>
      </c>
      <c r="AF27" s="39" t="n">
        <f aca="false">IF(OR(AC27="",AE27="",AB27=""),"",IFERROR(AC27/(1-AE27)*(1+AB27),""))</f>
        <v>1.88571428571429</v>
      </c>
      <c r="AG27" s="34" t="n">
        <v>1.7</v>
      </c>
      <c r="AH27" s="39" t="n">
        <f aca="false">IF(AD27="FIJO",IF(AG27="","",AG27),IF(AF27&lt;&gt;"",AF27,IF(AG27="","",AG27)))</f>
        <v>1.7</v>
      </c>
      <c r="AI27" s="39" t="n">
        <f aca="false">IF(OR(AH27="",AB27=""),"",IFERROR(AH27/(1+AB27),""))</f>
        <v>1.54545454545455</v>
      </c>
      <c r="AJ27" s="37" t="n">
        <f aca="false">IF(OR(AI27="",AC27=""),"",IFERROR((AI27-AC27)/AI27,""))</f>
        <v>0.689411764705882</v>
      </c>
      <c r="AK27" s="40" t="n">
        <f aca="false">IF(OR(AJ27="",AE27=""),"",AJ27-AE27)</f>
        <v>-0.0305882352941177</v>
      </c>
      <c r="AL27" s="41" t="n">
        <f aca="false">IF(OR(AH27="",AF27=""),"",AH27-AF27)</f>
        <v>-0.185714285714286</v>
      </c>
      <c r="AM27" s="42" t="str">
        <f aca="false">IF(OR(A27="",K27&lt;&gt;"SI"),"",IF(AE27="","Sin objetivo",IF(AJ27="","Faltan datos",IF(AJ27&lt;0,"PÉRDIDA",IF(AK27&lt;-UMB_CRITICO,"MUY POR DEBAJO",IF(AK27&lt;-UMB_BAJO,"POR DEBAJO",IF(AK27&lt;-UMB_AJUSTADO,"AJUSTADO",IF(AK27&lt;=UMB_ALTO,"EN OBJETIVO","POR ENCIMA"))))))))</f>
        <v>AJUSTADO</v>
      </c>
      <c r="AN27" s="31" t="s">
        <v>52</v>
      </c>
      <c r="AO27" s="31" t="s">
        <v>204</v>
      </c>
      <c r="AP27" s="33" t="n">
        <v>0</v>
      </c>
      <c r="AQ27" s="33" t="n">
        <v>0</v>
      </c>
      <c r="AR27" s="33" t="n">
        <v>0</v>
      </c>
      <c r="AS27" s="31" t="s">
        <v>338</v>
      </c>
      <c r="AT27" s="31" t="s">
        <v>186</v>
      </c>
      <c r="AU27" s="31" t="s">
        <v>52</v>
      </c>
      <c r="AV27" s="31" t="n">
        <v>1</v>
      </c>
      <c r="AW27" s="31" t="s">
        <v>243</v>
      </c>
      <c r="AX27" s="32" t="s">
        <v>372</v>
      </c>
      <c r="AY27" s="31" t="s">
        <v>189</v>
      </c>
      <c r="AZ27" s="43" t="n">
        <v>46248</v>
      </c>
      <c r="BA27" s="32"/>
    </row>
    <row r="28" customFormat="false" ht="15" hidden="false" customHeight="false" outlineLevel="0" collapsed="false">
      <c r="A28" s="31" t="s">
        <v>373</v>
      </c>
      <c r="B28" s="31" t="s">
        <v>374</v>
      </c>
      <c r="C28" s="32" t="s">
        <v>375</v>
      </c>
      <c r="D28" s="32" t="s">
        <v>376</v>
      </c>
      <c r="E28" s="31" t="s">
        <v>333</v>
      </c>
      <c r="F28" s="31" t="s">
        <v>363</v>
      </c>
      <c r="G28" s="31" t="s">
        <v>377</v>
      </c>
      <c r="H28" s="31" t="s">
        <v>193</v>
      </c>
      <c r="I28" s="31" t="s">
        <v>177</v>
      </c>
      <c r="J28" s="31" t="s">
        <v>52</v>
      </c>
      <c r="K28" s="31" t="s">
        <v>52</v>
      </c>
      <c r="L28" s="31" t="s">
        <v>52</v>
      </c>
      <c r="M28" s="31" t="s">
        <v>282</v>
      </c>
      <c r="N28" s="31"/>
      <c r="O28" s="33"/>
      <c r="P28" s="31" t="s">
        <v>282</v>
      </c>
      <c r="Q28" s="33" t="n">
        <v>1</v>
      </c>
      <c r="R28" s="31" t="n">
        <v>60</v>
      </c>
      <c r="S28" s="32" t="s">
        <v>378</v>
      </c>
      <c r="T28" s="31"/>
      <c r="U28" s="31"/>
      <c r="V28" s="34"/>
      <c r="W28" s="35" t="str">
        <f aca="false">IF(V28="","",IFERROR(V28/O28,""))</f>
        <v/>
      </c>
      <c r="X28" s="31"/>
      <c r="Y28" s="33"/>
      <c r="Z28" s="36" t="n">
        <v>3</v>
      </c>
      <c r="AA28" s="31" t="s">
        <v>203</v>
      </c>
      <c r="AB28" s="37" t="n">
        <f aca="false">IFERROR(INDEX(TABLA_IVA!$C$3:$C$6,MATCH(AA28,TABLA_IVA!$A$3:$A$6,0)),"")</f>
        <v>0.1</v>
      </c>
      <c r="AC28" s="34" t="n">
        <v>0.26</v>
      </c>
      <c r="AD28" s="31" t="s">
        <v>337</v>
      </c>
      <c r="AE28" s="38" t="n">
        <v>0.72</v>
      </c>
      <c r="AF28" s="39" t="n">
        <f aca="false">IF(OR(AC28="",AE28="",AB28=""),"",IFERROR(AC28/(1-AE28)*(1+AB28),""))</f>
        <v>1.02142857142857</v>
      </c>
      <c r="AG28" s="34" t="n">
        <v>0.95</v>
      </c>
      <c r="AH28" s="39" t="n">
        <f aca="false">IF(AD28="FIJO",IF(AG28="","",AG28),IF(AF28&lt;&gt;"",AF28,IF(AG28="","",AG28)))</f>
        <v>0.95</v>
      </c>
      <c r="AI28" s="39" t="n">
        <f aca="false">IF(OR(AH28="",AB28=""),"",IFERROR(AH28/(1+AB28),""))</f>
        <v>0.863636363636364</v>
      </c>
      <c r="AJ28" s="37" t="n">
        <f aca="false">IF(OR(AI28="",AC28=""),"",IFERROR((AI28-AC28)/AI28,""))</f>
        <v>0.698947368421053</v>
      </c>
      <c r="AK28" s="40" t="n">
        <f aca="false">IF(OR(AJ28="",AE28=""),"",AJ28-AE28)</f>
        <v>-0.0210526315789474</v>
      </c>
      <c r="AL28" s="41" t="n">
        <f aca="false">IF(OR(AH28="",AF28=""),"",AH28-AF28)</f>
        <v>-0.0714285714285714</v>
      </c>
      <c r="AM28" s="42" t="str">
        <f aca="false">IF(OR(A28="",K28&lt;&gt;"SI"),"",IF(AE28="","Sin objetivo",IF(AJ28="","Faltan datos",IF(AJ28&lt;0,"PÉRDIDA",IF(AK28&lt;-UMB_CRITICO,"MUY POR DEBAJO",IF(AK28&lt;-UMB_BAJO,"POR DEBAJO",IF(AK28&lt;-UMB_AJUSTADO,"AJUSTADO",IF(AK28&lt;=UMB_ALTO,"EN OBJETIVO","POR ENCIMA"))))))))</f>
        <v>AJUSTADO</v>
      </c>
      <c r="AN28" s="31" t="s">
        <v>52</v>
      </c>
      <c r="AO28" s="31" t="s">
        <v>204</v>
      </c>
      <c r="AP28" s="33" t="n">
        <v>0</v>
      </c>
      <c r="AQ28" s="33" t="n">
        <v>0</v>
      </c>
      <c r="AR28" s="33" t="n">
        <v>0</v>
      </c>
      <c r="AS28" s="31" t="s">
        <v>338</v>
      </c>
      <c r="AT28" s="31" t="s">
        <v>221</v>
      </c>
      <c r="AU28" s="31" t="s">
        <v>52</v>
      </c>
      <c r="AV28" s="31" t="n">
        <v>7</v>
      </c>
      <c r="AW28" s="31" t="s">
        <v>243</v>
      </c>
      <c r="AX28" s="32" t="s">
        <v>328</v>
      </c>
      <c r="AY28" s="31" t="s">
        <v>189</v>
      </c>
      <c r="AZ28" s="43" t="n">
        <v>46248</v>
      </c>
      <c r="BA28" s="32"/>
    </row>
    <row r="29" customFormat="false" ht="15" hidden="false" customHeight="false" outlineLevel="0" collapsed="false">
      <c r="A29" s="31" t="s">
        <v>379</v>
      </c>
      <c r="B29" s="31" t="s">
        <v>380</v>
      </c>
      <c r="C29" s="32" t="s">
        <v>381</v>
      </c>
      <c r="D29" s="32" t="s">
        <v>382</v>
      </c>
      <c r="E29" s="31" t="s">
        <v>333</v>
      </c>
      <c r="F29" s="31" t="s">
        <v>383</v>
      </c>
      <c r="G29" s="31" t="s">
        <v>384</v>
      </c>
      <c r="H29" s="31" t="s">
        <v>193</v>
      </c>
      <c r="I29" s="31" t="s">
        <v>177</v>
      </c>
      <c r="J29" s="31" t="s">
        <v>52</v>
      </c>
      <c r="K29" s="31" t="s">
        <v>52</v>
      </c>
      <c r="L29" s="31" t="s">
        <v>52</v>
      </c>
      <c r="M29" s="31" t="s">
        <v>282</v>
      </c>
      <c r="N29" s="31"/>
      <c r="O29" s="33"/>
      <c r="P29" s="31" t="s">
        <v>282</v>
      </c>
      <c r="Q29" s="33" t="n">
        <v>1</v>
      </c>
      <c r="R29" s="31" t="n">
        <v>110</v>
      </c>
      <c r="S29" s="32" t="s">
        <v>385</v>
      </c>
      <c r="T29" s="31"/>
      <c r="U29" s="31"/>
      <c r="V29" s="34"/>
      <c r="W29" s="35" t="str">
        <f aca="false">IF(V29="","",IFERROR(V29/O29,""))</f>
        <v/>
      </c>
      <c r="X29" s="31"/>
      <c r="Y29" s="33"/>
      <c r="Z29" s="36" t="n">
        <v>4</v>
      </c>
      <c r="AA29" s="31" t="s">
        <v>203</v>
      </c>
      <c r="AB29" s="37" t="n">
        <f aca="false">IFERROR(INDEX(TABLA_IVA!$C$3:$C$6,MATCH(AA29,TABLA_IVA!$A$3:$A$6,0)),"")</f>
        <v>0.1</v>
      </c>
      <c r="AC29" s="34" t="n">
        <v>0.55</v>
      </c>
      <c r="AD29" s="31" t="s">
        <v>337</v>
      </c>
      <c r="AE29" s="38" t="n">
        <v>0.7</v>
      </c>
      <c r="AF29" s="39" t="n">
        <f aca="false">IF(OR(AC29="",AE29="",AB29=""),"",IFERROR(AC29/(1-AE29)*(1+AB29),""))</f>
        <v>2.01666666666667</v>
      </c>
      <c r="AG29" s="34" t="n">
        <v>1.9</v>
      </c>
      <c r="AH29" s="39" t="n">
        <f aca="false">IF(AD29="FIJO",IF(AG29="","",AG29),IF(AF29&lt;&gt;"",AF29,IF(AG29="","",AG29)))</f>
        <v>1.9</v>
      </c>
      <c r="AI29" s="39" t="n">
        <f aca="false">IF(OR(AH29="",AB29=""),"",IFERROR(AH29/(1+AB29),""))</f>
        <v>1.72727272727273</v>
      </c>
      <c r="AJ29" s="37" t="n">
        <f aca="false">IF(OR(AI29="",AC29=""),"",IFERROR((AI29-AC29)/AI29,""))</f>
        <v>0.681578947368421</v>
      </c>
      <c r="AK29" s="40" t="n">
        <f aca="false">IF(OR(AJ29="",AE29=""),"",AJ29-AE29)</f>
        <v>-0.018421052631579</v>
      </c>
      <c r="AL29" s="41" t="n">
        <f aca="false">IF(OR(AH29="",AF29=""),"",AH29-AF29)</f>
        <v>-0.116666666666667</v>
      </c>
      <c r="AM29" s="42" t="str">
        <f aca="false">IF(OR(A29="",K29&lt;&gt;"SI"),"",IF(AE29="","Sin objetivo",IF(AJ29="","Faltan datos",IF(AJ29&lt;0,"PÉRDIDA",IF(AK29&lt;-UMB_CRITICO,"MUY POR DEBAJO",IF(AK29&lt;-UMB_BAJO,"POR DEBAJO",IF(AK29&lt;-UMB_AJUSTADO,"AJUSTADO",IF(AK29&lt;=UMB_ALTO,"EN OBJETIVO","POR ENCIMA"))))))))</f>
        <v>EN OBJETIVO</v>
      </c>
      <c r="AN29" s="31" t="s">
        <v>52</v>
      </c>
      <c r="AO29" s="31" t="s">
        <v>204</v>
      </c>
      <c r="AP29" s="33" t="n">
        <v>0</v>
      </c>
      <c r="AQ29" s="33" t="n">
        <v>0</v>
      </c>
      <c r="AR29" s="33" t="n">
        <v>0</v>
      </c>
      <c r="AS29" s="31" t="s">
        <v>338</v>
      </c>
      <c r="AT29" s="31" t="s">
        <v>221</v>
      </c>
      <c r="AU29" s="31" t="s">
        <v>52</v>
      </c>
      <c r="AV29" s="31" t="n">
        <v>3</v>
      </c>
      <c r="AW29" s="31" t="s">
        <v>243</v>
      </c>
      <c r="AX29" s="32" t="s">
        <v>315</v>
      </c>
      <c r="AY29" s="31" t="s">
        <v>189</v>
      </c>
      <c r="AZ29" s="43" t="n">
        <v>46248</v>
      </c>
      <c r="BA29" s="32"/>
    </row>
    <row r="30" customFormat="false" ht="15" hidden="false" customHeight="false" outlineLevel="0" collapsed="false">
      <c r="A30" s="31" t="s">
        <v>386</v>
      </c>
      <c r="B30" s="31"/>
      <c r="C30" s="32" t="s">
        <v>387</v>
      </c>
      <c r="D30" s="32" t="s">
        <v>388</v>
      </c>
      <c r="E30" s="31" t="s">
        <v>333</v>
      </c>
      <c r="F30" s="31" t="s">
        <v>389</v>
      </c>
      <c r="G30" s="31" t="s">
        <v>390</v>
      </c>
      <c r="H30" s="31" t="s">
        <v>193</v>
      </c>
      <c r="I30" s="31" t="s">
        <v>177</v>
      </c>
      <c r="J30" s="31" t="s">
        <v>52</v>
      </c>
      <c r="K30" s="31" t="s">
        <v>52</v>
      </c>
      <c r="L30" s="31" t="s">
        <v>52</v>
      </c>
      <c r="M30" s="31" t="s">
        <v>391</v>
      </c>
      <c r="N30" s="31"/>
      <c r="O30" s="33"/>
      <c r="P30" s="31" t="s">
        <v>391</v>
      </c>
      <c r="Q30" s="33" t="n">
        <v>1</v>
      </c>
      <c r="R30" s="31" t="n">
        <v>120</v>
      </c>
      <c r="S30" s="32" t="s">
        <v>392</v>
      </c>
      <c r="T30" s="31"/>
      <c r="U30" s="31"/>
      <c r="V30" s="34"/>
      <c r="W30" s="35" t="str">
        <f aca="false">IF(V30="","",IFERROR(V30/O30,""))</f>
        <v/>
      </c>
      <c r="X30" s="31"/>
      <c r="Y30" s="33"/>
      <c r="Z30" s="36" t="n">
        <v>6</v>
      </c>
      <c r="AA30" s="31" t="s">
        <v>203</v>
      </c>
      <c r="AB30" s="37" t="n">
        <f aca="false">IFERROR(INDEX(TABLA_IVA!$C$3:$C$6,MATCH(AA30,TABLA_IVA!$A$3:$A$6,0)),"")</f>
        <v>0.1</v>
      </c>
      <c r="AC30" s="34" t="n">
        <v>0.85</v>
      </c>
      <c r="AD30" s="31" t="s">
        <v>337</v>
      </c>
      <c r="AE30" s="38" t="n">
        <v>0.7</v>
      </c>
      <c r="AF30" s="39" t="n">
        <f aca="false">IF(OR(AC30="",AE30="",AB30=""),"",IFERROR(AC30/(1-AE30)*(1+AB30),""))</f>
        <v>3.11666666666667</v>
      </c>
      <c r="AG30" s="34" t="n">
        <v>3.2</v>
      </c>
      <c r="AH30" s="39" t="n">
        <f aca="false">IF(AD30="FIJO",IF(AG30="","",AG30),IF(AF30&lt;&gt;"",AF30,IF(AG30="","",AG30)))</f>
        <v>3.2</v>
      </c>
      <c r="AI30" s="39" t="n">
        <f aca="false">IF(OR(AH30="",AB30=""),"",IFERROR(AH30/(1+AB30),""))</f>
        <v>2.90909090909091</v>
      </c>
      <c r="AJ30" s="37" t="n">
        <f aca="false">IF(OR(AI30="",AC30=""),"",IFERROR((AI30-AC30)/AI30,""))</f>
        <v>0.7078125</v>
      </c>
      <c r="AK30" s="40" t="n">
        <f aca="false">IF(OR(AJ30="",AE30=""),"",AJ30-AE30)</f>
        <v>0.0078125</v>
      </c>
      <c r="AL30" s="41" t="n">
        <f aca="false">IF(OR(AH30="",AF30=""),"",AH30-AF30)</f>
        <v>0.0833333333333335</v>
      </c>
      <c r="AM30" s="42" t="str">
        <f aca="false">IF(OR(A30="",K30&lt;&gt;"SI"),"",IF(AE30="","Sin objetivo",IF(AJ30="","Faltan datos",IF(AJ30&lt;0,"PÉRDIDA",IF(AK30&lt;-UMB_CRITICO,"MUY POR DEBAJO",IF(AK30&lt;-UMB_BAJO,"POR DEBAJO",IF(AK30&lt;-UMB_AJUSTADO,"AJUSTADO",IF(AK30&lt;=UMB_ALTO,"EN OBJETIVO","POR ENCIMA"))))))))</f>
        <v>EN OBJETIVO</v>
      </c>
      <c r="AN30" s="31" t="s">
        <v>52</v>
      </c>
      <c r="AO30" s="31" t="s">
        <v>204</v>
      </c>
      <c r="AP30" s="33" t="n">
        <v>0</v>
      </c>
      <c r="AQ30" s="33" t="n">
        <v>0</v>
      </c>
      <c r="AR30" s="33" t="n">
        <v>0</v>
      </c>
      <c r="AS30" s="31" t="s">
        <v>205</v>
      </c>
      <c r="AT30" s="31" t="s">
        <v>186</v>
      </c>
      <c r="AU30" s="31" t="s">
        <v>52</v>
      </c>
      <c r="AV30" s="31" t="n">
        <v>3</v>
      </c>
      <c r="AW30" s="31" t="s">
        <v>206</v>
      </c>
      <c r="AX30" s="32" t="s">
        <v>366</v>
      </c>
      <c r="AY30" s="31" t="s">
        <v>189</v>
      </c>
      <c r="AZ30" s="43" t="n">
        <v>46248</v>
      </c>
      <c r="BA30" s="32"/>
    </row>
    <row r="31" customFormat="false" ht="15" hidden="false" customHeight="false" outlineLevel="0" collapsed="false">
      <c r="A31" s="31" t="s">
        <v>393</v>
      </c>
      <c r="B31" s="31"/>
      <c r="C31" s="32" t="s">
        <v>394</v>
      </c>
      <c r="D31" s="32" t="s">
        <v>395</v>
      </c>
      <c r="E31" s="31" t="s">
        <v>333</v>
      </c>
      <c r="F31" s="31" t="s">
        <v>389</v>
      </c>
      <c r="G31" s="31" t="s">
        <v>396</v>
      </c>
      <c r="H31" s="31" t="s">
        <v>193</v>
      </c>
      <c r="I31" s="31" t="s">
        <v>177</v>
      </c>
      <c r="J31" s="31" t="s">
        <v>52</v>
      </c>
      <c r="K31" s="31" t="s">
        <v>52</v>
      </c>
      <c r="L31" s="31" t="s">
        <v>52</v>
      </c>
      <c r="M31" s="31" t="s">
        <v>282</v>
      </c>
      <c r="N31" s="31"/>
      <c r="O31" s="33"/>
      <c r="P31" s="31" t="s">
        <v>282</v>
      </c>
      <c r="Q31" s="33" t="n">
        <v>1</v>
      </c>
      <c r="R31" s="31" t="n">
        <v>1400</v>
      </c>
      <c r="S31" s="32" t="s">
        <v>397</v>
      </c>
      <c r="T31" s="31"/>
      <c r="U31" s="31"/>
      <c r="V31" s="34"/>
      <c r="W31" s="35" t="str">
        <f aca="false">IF(V31="","",IFERROR(V31/O31,""))</f>
        <v/>
      </c>
      <c r="X31" s="31"/>
      <c r="Y31" s="33"/>
      <c r="Z31" s="36" t="n">
        <v>5</v>
      </c>
      <c r="AA31" s="31" t="s">
        <v>203</v>
      </c>
      <c r="AB31" s="37" t="n">
        <f aca="false">IFERROR(INDEX(TABLA_IVA!$C$3:$C$6,MATCH(AA31,TABLA_IVA!$A$3:$A$6,0)),"")</f>
        <v>0.1</v>
      </c>
      <c r="AC31" s="34" t="n">
        <v>8.9</v>
      </c>
      <c r="AD31" s="31" t="s">
        <v>337</v>
      </c>
      <c r="AE31" s="38" t="n">
        <v>0.7</v>
      </c>
      <c r="AF31" s="39" t="n">
        <f aca="false">IF(OR(AC31="",AE31="",AB31=""),"",IFERROR(AC31/(1-AE31)*(1+AB31),""))</f>
        <v>32.6333333333333</v>
      </c>
      <c r="AG31" s="34" t="n">
        <v>32</v>
      </c>
      <c r="AH31" s="39" t="n">
        <f aca="false">IF(AD31="FIJO",IF(AG31="","",AG31),IF(AF31&lt;&gt;"",AF31,IF(AG31="","",AG31)))</f>
        <v>32</v>
      </c>
      <c r="AI31" s="39" t="n">
        <f aca="false">IF(OR(AH31="",AB31=""),"",IFERROR(AH31/(1+AB31),""))</f>
        <v>29.0909090909091</v>
      </c>
      <c r="AJ31" s="37" t="n">
        <f aca="false">IF(OR(AI31="",AC31=""),"",IFERROR((AI31-AC31)/AI31,""))</f>
        <v>0.6940625</v>
      </c>
      <c r="AK31" s="40" t="n">
        <f aca="false">IF(OR(AJ31="",AE31=""),"",AJ31-AE31)</f>
        <v>-0.00593750000000004</v>
      </c>
      <c r="AL31" s="41" t="n">
        <f aca="false">IF(OR(AH31="",AF31=""),"",AH31-AF31)</f>
        <v>-0.633333333333333</v>
      </c>
      <c r="AM31" s="42" t="str">
        <f aca="false">IF(OR(A31="",K31&lt;&gt;"SI"),"",IF(AE31="","Sin objetivo",IF(AJ31="","Faltan datos",IF(AJ31&lt;0,"PÉRDIDA",IF(AK31&lt;-UMB_CRITICO,"MUY POR DEBAJO",IF(AK31&lt;-UMB_BAJO,"POR DEBAJO",IF(AK31&lt;-UMB_AJUSTADO,"AJUSTADO",IF(AK31&lt;=UMB_ALTO,"EN OBJETIVO","POR ENCIMA"))))))))</f>
        <v>EN OBJETIVO</v>
      </c>
      <c r="AN31" s="31" t="s">
        <v>52</v>
      </c>
      <c r="AO31" s="31" t="s">
        <v>204</v>
      </c>
      <c r="AP31" s="33" t="n">
        <v>0</v>
      </c>
      <c r="AQ31" s="33" t="n">
        <v>0</v>
      </c>
      <c r="AR31" s="33" t="n">
        <v>0</v>
      </c>
      <c r="AS31" s="31" t="s">
        <v>205</v>
      </c>
      <c r="AT31" s="31" t="s">
        <v>186</v>
      </c>
      <c r="AU31" s="31" t="s">
        <v>52</v>
      </c>
      <c r="AV31" s="31" t="n">
        <v>3</v>
      </c>
      <c r="AW31" s="31" t="s">
        <v>206</v>
      </c>
      <c r="AX31" s="32" t="s">
        <v>398</v>
      </c>
      <c r="AY31" s="31" t="s">
        <v>189</v>
      </c>
      <c r="AZ31" s="43" t="n">
        <v>46248</v>
      </c>
      <c r="BA31" s="32" t="s">
        <v>399</v>
      </c>
    </row>
    <row r="32" customFormat="false" ht="15" hidden="false" customHeight="false" outlineLevel="0" collapsed="false">
      <c r="A32" s="31" t="s">
        <v>400</v>
      </c>
      <c r="B32" s="31"/>
      <c r="C32" s="32" t="s">
        <v>401</v>
      </c>
      <c r="D32" s="32" t="s">
        <v>402</v>
      </c>
      <c r="E32" s="31" t="s">
        <v>333</v>
      </c>
      <c r="F32" s="31" t="s">
        <v>403</v>
      </c>
      <c r="G32" s="31" t="s">
        <v>404</v>
      </c>
      <c r="H32" s="31" t="s">
        <v>403</v>
      </c>
      <c r="I32" s="31" t="s">
        <v>177</v>
      </c>
      <c r="J32" s="31" t="s">
        <v>52</v>
      </c>
      <c r="K32" s="31" t="s">
        <v>52</v>
      </c>
      <c r="L32" s="31" t="s">
        <v>52</v>
      </c>
      <c r="M32" s="31" t="s">
        <v>391</v>
      </c>
      <c r="N32" s="31"/>
      <c r="O32" s="33"/>
      <c r="P32" s="31" t="s">
        <v>391</v>
      </c>
      <c r="Q32" s="33" t="n">
        <v>1</v>
      </c>
      <c r="R32" s="31" t="n">
        <v>180</v>
      </c>
      <c r="S32" s="32" t="s">
        <v>405</v>
      </c>
      <c r="T32" s="31"/>
      <c r="U32" s="31"/>
      <c r="V32" s="34"/>
      <c r="W32" s="35" t="str">
        <f aca="false">IF(V32="","",IFERROR(V32/O32,""))</f>
        <v/>
      </c>
      <c r="X32" s="31"/>
      <c r="Y32" s="33"/>
      <c r="Z32" s="36" t="n">
        <v>5</v>
      </c>
      <c r="AA32" s="31" t="s">
        <v>203</v>
      </c>
      <c r="AB32" s="37" t="n">
        <f aca="false">IFERROR(INDEX(TABLA_IVA!$C$3:$C$6,MATCH(AA32,TABLA_IVA!$A$3:$A$6,0)),"")</f>
        <v>0.1</v>
      </c>
      <c r="AC32" s="34" t="n">
        <v>0.9</v>
      </c>
      <c r="AD32" s="31" t="s">
        <v>337</v>
      </c>
      <c r="AE32" s="38" t="n">
        <v>0.65</v>
      </c>
      <c r="AF32" s="39" t="n">
        <f aca="false">IF(OR(AC32="",AE32="",AB32=""),"",IFERROR(AC32/(1-AE32)*(1+AB32),""))</f>
        <v>2.82857142857143</v>
      </c>
      <c r="AG32" s="34" t="n">
        <v>3.1</v>
      </c>
      <c r="AH32" s="39" t="n">
        <f aca="false">IF(AD32="FIJO",IF(AG32="","",AG32),IF(AF32&lt;&gt;"",AF32,IF(AG32="","",AG32)))</f>
        <v>3.1</v>
      </c>
      <c r="AI32" s="39" t="n">
        <f aca="false">IF(OR(AH32="",AB32=""),"",IFERROR(AH32/(1+AB32),""))</f>
        <v>2.81818181818182</v>
      </c>
      <c r="AJ32" s="37" t="n">
        <f aca="false">IF(OR(AI32="",AC32=""),"",IFERROR((AI32-AC32)/AI32,""))</f>
        <v>0.680645161290323</v>
      </c>
      <c r="AK32" s="40" t="n">
        <f aca="false">IF(OR(AJ32="",AE32=""),"",AJ32-AE32)</f>
        <v>0.0306451612903226</v>
      </c>
      <c r="AL32" s="41" t="n">
        <f aca="false">IF(OR(AH32="",AF32=""),"",AH32-AF32)</f>
        <v>0.271428571428571</v>
      </c>
      <c r="AM32" s="42" t="str">
        <f aca="false">IF(OR(A32="",K32&lt;&gt;"SI"),"",IF(AE32="","Sin objetivo",IF(AJ32="","Faltan datos",IF(AJ32&lt;0,"PÉRDIDA",IF(AK32&lt;-UMB_CRITICO,"MUY POR DEBAJO",IF(AK32&lt;-UMB_BAJO,"POR DEBAJO",IF(AK32&lt;-UMB_AJUSTADO,"AJUSTADO",IF(AK32&lt;=UMB_ALTO,"EN OBJETIVO","POR ENCIMA"))))))))</f>
        <v>EN OBJETIVO</v>
      </c>
      <c r="AN32" s="31" t="s">
        <v>52</v>
      </c>
      <c r="AO32" s="31" t="s">
        <v>204</v>
      </c>
      <c r="AP32" s="33" t="n">
        <v>0</v>
      </c>
      <c r="AQ32" s="33" t="n">
        <v>0</v>
      </c>
      <c r="AR32" s="33" t="n">
        <v>0</v>
      </c>
      <c r="AS32" s="31" t="s">
        <v>338</v>
      </c>
      <c r="AT32" s="31" t="s">
        <v>221</v>
      </c>
      <c r="AU32" s="31" t="s">
        <v>52</v>
      </c>
      <c r="AV32" s="31" t="n">
        <v>2</v>
      </c>
      <c r="AW32" s="31" t="s">
        <v>206</v>
      </c>
      <c r="AX32" s="32" t="s">
        <v>406</v>
      </c>
      <c r="AY32" s="31" t="s">
        <v>189</v>
      </c>
      <c r="AZ32" s="43" t="n">
        <v>46248</v>
      </c>
      <c r="BA32" s="32"/>
    </row>
    <row r="33" customFormat="false" ht="15" hidden="false" customHeight="false" outlineLevel="0" collapsed="false">
      <c r="A33" s="31" t="s">
        <v>407</v>
      </c>
      <c r="B33" s="31"/>
      <c r="C33" s="32" t="s">
        <v>408</v>
      </c>
      <c r="D33" s="32" t="s">
        <v>409</v>
      </c>
      <c r="E33" s="31" t="s">
        <v>410</v>
      </c>
      <c r="F33" s="31" t="s">
        <v>411</v>
      </c>
      <c r="G33" s="31" t="s">
        <v>412</v>
      </c>
      <c r="H33" s="31" t="s">
        <v>411</v>
      </c>
      <c r="I33" s="31" t="s">
        <v>52</v>
      </c>
      <c r="J33" s="31" t="s">
        <v>177</v>
      </c>
      <c r="K33" s="31" t="s">
        <v>52</v>
      </c>
      <c r="L33" s="31" t="s">
        <v>177</v>
      </c>
      <c r="M33" s="31" t="s">
        <v>178</v>
      </c>
      <c r="N33" s="31" t="s">
        <v>200</v>
      </c>
      <c r="O33" s="33" t="n">
        <v>6</v>
      </c>
      <c r="P33" s="31" t="s">
        <v>178</v>
      </c>
      <c r="Q33" s="33" t="n">
        <v>1</v>
      </c>
      <c r="R33" s="31"/>
      <c r="S33" s="32" t="s">
        <v>413</v>
      </c>
      <c r="T33" s="31" t="s">
        <v>219</v>
      </c>
      <c r="U33" s="31" t="s">
        <v>414</v>
      </c>
      <c r="V33" s="34" t="n">
        <v>78</v>
      </c>
      <c r="W33" s="35" t="n">
        <f aca="false">IF(V33="","",IFERROR(V33/O33,""))</f>
        <v>13</v>
      </c>
      <c r="X33" s="31" t="n">
        <v>7</v>
      </c>
      <c r="Y33" s="33" t="n">
        <v>1</v>
      </c>
      <c r="Z33" s="36" t="n">
        <v>0</v>
      </c>
      <c r="AA33" s="31" t="s">
        <v>203</v>
      </c>
      <c r="AB33" s="37" t="n">
        <f aca="false">IFERROR(INDEX(TABLA_IVA!$C$3:$C$6,MATCH(AA33,TABLA_IVA!$A$3:$A$6,0)),"")</f>
        <v>0.1</v>
      </c>
      <c r="AC33" s="34" t="n">
        <v>13</v>
      </c>
      <c r="AD33" s="31" t="s">
        <v>415</v>
      </c>
      <c r="AE33" s="38" t="n">
        <v>0.3</v>
      </c>
      <c r="AF33" s="39" t="n">
        <f aca="false">IF(OR(AC33="",AE33="",AB33=""),"",IFERROR(AC33/(1-AE33)*(1+AB33),""))</f>
        <v>20.4285714285714</v>
      </c>
      <c r="AG33" s="34"/>
      <c r="AH33" s="39" t="n">
        <f aca="false">IF(AD33="FIJO",IF(AG33="","",AG33),IF(AF33&lt;&gt;"",AF33,IF(AG33="","",AG33)))</f>
        <v>20.4285714285714</v>
      </c>
      <c r="AI33" s="39" t="n">
        <f aca="false">IF(OR(AH33="",AB33=""),"",IFERROR(AH33/(1+AB33),""))</f>
        <v>18.5714285714286</v>
      </c>
      <c r="AJ33" s="37" t="n">
        <f aca="false">IF(OR(AI33="",AC33=""),"",IFERROR((AI33-AC33)/AI33,""))</f>
        <v>0.3</v>
      </c>
      <c r="AK33" s="40" t="n">
        <f aca="false">IF(OR(AJ33="",AE33=""),"",AJ33-AE33)</f>
        <v>0</v>
      </c>
      <c r="AL33" s="41" t="n">
        <f aca="false">IF(OR(AH33="",AF33=""),"",AH33-AF33)</f>
        <v>0</v>
      </c>
      <c r="AM33" s="42" t="str">
        <f aca="false">IF(OR(A33="",K33&lt;&gt;"SI"),"",IF(AE33="","Sin objetivo",IF(AJ33="","Faltan datos",IF(AJ33&lt;0,"PÉRDIDA",IF(AK33&lt;-UMB_CRITICO,"MUY POR DEBAJO",IF(AK33&lt;-UMB_BAJO,"POR DEBAJO",IF(AK33&lt;-UMB_AJUSTADO,"AJUSTADO",IF(AK33&lt;=UMB_ALTO,"EN OBJETIVO","POR ENCIMA"))))))))</f>
        <v>EN OBJETIVO</v>
      </c>
      <c r="AN33" s="31" t="s">
        <v>52</v>
      </c>
      <c r="AO33" s="31" t="s">
        <v>184</v>
      </c>
      <c r="AP33" s="33" t="n">
        <v>3</v>
      </c>
      <c r="AQ33" s="33" t="n">
        <v>18</v>
      </c>
      <c r="AR33" s="33" t="n">
        <v>6</v>
      </c>
      <c r="AS33" s="31" t="s">
        <v>185</v>
      </c>
      <c r="AT33" s="31" t="s">
        <v>221</v>
      </c>
      <c r="AU33" s="31" t="s">
        <v>177</v>
      </c>
      <c r="AV33" s="31" t="n">
        <v>365</v>
      </c>
      <c r="AW33" s="31" t="s">
        <v>187</v>
      </c>
      <c r="AX33" s="32"/>
      <c r="AY33" s="31" t="s">
        <v>189</v>
      </c>
      <c r="AZ33" s="43" t="n">
        <v>46248</v>
      </c>
      <c r="BA33" s="32" t="s">
        <v>416</v>
      </c>
    </row>
    <row r="34" customFormat="false" ht="15" hidden="false" customHeight="false" outlineLevel="0" collapsed="false">
      <c r="A34" s="31" t="s">
        <v>417</v>
      </c>
      <c r="B34" s="31" t="s">
        <v>418</v>
      </c>
      <c r="C34" s="32" t="s">
        <v>419</v>
      </c>
      <c r="D34" s="32" t="s">
        <v>420</v>
      </c>
      <c r="E34" s="31" t="s">
        <v>410</v>
      </c>
      <c r="F34" s="31" t="s">
        <v>421</v>
      </c>
      <c r="G34" s="31" t="s">
        <v>422</v>
      </c>
      <c r="H34" s="31" t="s">
        <v>423</v>
      </c>
      <c r="I34" s="31" t="s">
        <v>52</v>
      </c>
      <c r="J34" s="31" t="s">
        <v>177</v>
      </c>
      <c r="K34" s="31" t="s">
        <v>52</v>
      </c>
      <c r="L34" s="31" t="s">
        <v>177</v>
      </c>
      <c r="M34" s="31" t="s">
        <v>282</v>
      </c>
      <c r="N34" s="31" t="s">
        <v>200</v>
      </c>
      <c r="O34" s="33" t="n">
        <v>24</v>
      </c>
      <c r="P34" s="31" t="s">
        <v>282</v>
      </c>
      <c r="Q34" s="33" t="n">
        <v>1</v>
      </c>
      <c r="R34" s="31"/>
      <c r="S34" s="32" t="s">
        <v>424</v>
      </c>
      <c r="T34" s="31" t="s">
        <v>219</v>
      </c>
      <c r="U34" s="31" t="s">
        <v>425</v>
      </c>
      <c r="V34" s="34" t="n">
        <v>5.76</v>
      </c>
      <c r="W34" s="35" t="n">
        <f aca="false">IF(V34="","",IFERROR(V34/O34,""))</f>
        <v>0.24</v>
      </c>
      <c r="X34" s="31" t="n">
        <v>7</v>
      </c>
      <c r="Y34" s="33" t="n">
        <v>2</v>
      </c>
      <c r="Z34" s="36" t="n">
        <v>0</v>
      </c>
      <c r="AA34" s="31" t="s">
        <v>183</v>
      </c>
      <c r="AB34" s="37" t="n">
        <f aca="false">IFERROR(INDEX(TABLA_IVA!$C$3:$C$6,MATCH(AA34,TABLA_IVA!$A$3:$A$6,0)),"")</f>
        <v>0.04</v>
      </c>
      <c r="AC34" s="34" t="n">
        <v>0.24</v>
      </c>
      <c r="AD34" s="31" t="s">
        <v>337</v>
      </c>
      <c r="AE34" s="38" t="n">
        <v>0.6</v>
      </c>
      <c r="AF34" s="39" t="n">
        <f aca="false">IF(OR(AC34="",AE34="",AB34=""),"",IFERROR(AC34/(1-AE34)*(1+AB34),""))</f>
        <v>0.624</v>
      </c>
      <c r="AG34" s="34" t="n">
        <v>0.9</v>
      </c>
      <c r="AH34" s="39" t="n">
        <f aca="false">IF(AD34="FIJO",IF(AG34="","",AG34),IF(AF34&lt;&gt;"",AF34,IF(AG34="","",AG34)))</f>
        <v>0.9</v>
      </c>
      <c r="AI34" s="39" t="n">
        <f aca="false">IF(OR(AH34="",AB34=""),"",IFERROR(AH34/(1+AB34),""))</f>
        <v>0.865384615384615</v>
      </c>
      <c r="AJ34" s="37" t="n">
        <f aca="false">IF(OR(AI34="",AC34=""),"",IFERROR((AI34-AC34)/AI34,""))</f>
        <v>0.722666666666667</v>
      </c>
      <c r="AK34" s="40" t="n">
        <f aca="false">IF(OR(AJ34="",AE34=""),"",AJ34-AE34)</f>
        <v>0.122666666666667</v>
      </c>
      <c r="AL34" s="41" t="n">
        <f aca="false">IF(OR(AH34="",AF34=""),"",AH34-AF34)</f>
        <v>0.276</v>
      </c>
      <c r="AM34" s="42" t="str">
        <f aca="false">IF(OR(A34="",K34&lt;&gt;"SI"),"",IF(AE34="","Sin objetivo",IF(AJ34="","Faltan datos",IF(AJ34&lt;0,"PÉRDIDA",IF(AK34&lt;-UMB_CRITICO,"MUY POR DEBAJO",IF(AK34&lt;-UMB_BAJO,"POR DEBAJO",IF(AK34&lt;-UMB_AJUSTADO,"AJUSTADO",IF(AK34&lt;=UMB_ALTO,"EN OBJETIVO","POR ENCIMA"))))))))</f>
        <v>POR ENCIMA</v>
      </c>
      <c r="AN34" s="31" t="s">
        <v>52</v>
      </c>
      <c r="AO34" s="31" t="s">
        <v>184</v>
      </c>
      <c r="AP34" s="33" t="n">
        <v>48</v>
      </c>
      <c r="AQ34" s="33" t="n">
        <v>240</v>
      </c>
      <c r="AR34" s="33" t="n">
        <v>96</v>
      </c>
      <c r="AS34" s="31" t="s">
        <v>287</v>
      </c>
      <c r="AT34" s="31" t="s">
        <v>213</v>
      </c>
      <c r="AU34" s="31" t="s">
        <v>177</v>
      </c>
      <c r="AV34" s="31" t="n">
        <v>365</v>
      </c>
      <c r="AW34" s="31" t="s">
        <v>243</v>
      </c>
      <c r="AX34" s="32"/>
      <c r="AY34" s="31" t="s">
        <v>189</v>
      </c>
      <c r="AZ34" s="43" t="n">
        <v>46248</v>
      </c>
      <c r="BA34" s="32"/>
    </row>
    <row r="35" customFormat="false" ht="15" hidden="false" customHeight="false" outlineLevel="0" collapsed="false">
      <c r="A35" s="31" t="s">
        <v>426</v>
      </c>
      <c r="B35" s="31" t="s">
        <v>427</v>
      </c>
      <c r="C35" s="32" t="s">
        <v>428</v>
      </c>
      <c r="D35" s="32" t="s">
        <v>429</v>
      </c>
      <c r="E35" s="31" t="s">
        <v>410</v>
      </c>
      <c r="F35" s="31" t="s">
        <v>421</v>
      </c>
      <c r="G35" s="31" t="s">
        <v>430</v>
      </c>
      <c r="H35" s="31" t="s">
        <v>423</v>
      </c>
      <c r="I35" s="31" t="s">
        <v>52</v>
      </c>
      <c r="J35" s="31" t="s">
        <v>177</v>
      </c>
      <c r="K35" s="31" t="s">
        <v>52</v>
      </c>
      <c r="L35" s="31" t="s">
        <v>177</v>
      </c>
      <c r="M35" s="31" t="s">
        <v>282</v>
      </c>
      <c r="N35" s="31" t="s">
        <v>200</v>
      </c>
      <c r="O35" s="33" t="n">
        <v>24</v>
      </c>
      <c r="P35" s="31" t="s">
        <v>282</v>
      </c>
      <c r="Q35" s="33" t="n">
        <v>1</v>
      </c>
      <c r="R35" s="31"/>
      <c r="S35" s="32" t="s">
        <v>431</v>
      </c>
      <c r="T35" s="31" t="s">
        <v>219</v>
      </c>
      <c r="U35" s="31" t="s">
        <v>432</v>
      </c>
      <c r="V35" s="34" t="n">
        <v>14.4</v>
      </c>
      <c r="W35" s="35" t="n">
        <f aca="false">IF(V35="","",IFERROR(V35/O35,""))</f>
        <v>0.6</v>
      </c>
      <c r="X35" s="31" t="n">
        <v>7</v>
      </c>
      <c r="Y35" s="33" t="n">
        <v>1</v>
      </c>
      <c r="Z35" s="36" t="n">
        <v>0</v>
      </c>
      <c r="AA35" s="31" t="s">
        <v>286</v>
      </c>
      <c r="AB35" s="37" t="n">
        <f aca="false">IFERROR(INDEX(TABLA_IVA!$C$3:$C$6,MATCH(AA35,TABLA_IVA!$A$3:$A$6,0)),"")</f>
        <v>0.21</v>
      </c>
      <c r="AC35" s="34" t="n">
        <v>0.6</v>
      </c>
      <c r="AD35" s="31" t="s">
        <v>337</v>
      </c>
      <c r="AE35" s="38" t="n">
        <v>0.6</v>
      </c>
      <c r="AF35" s="39" t="n">
        <f aca="false">IF(OR(AC35="",AE35="",AB35=""),"",IFERROR(AC35/(1-AE35)*(1+AB35),""))</f>
        <v>1.815</v>
      </c>
      <c r="AG35" s="34" t="n">
        <v>1.6</v>
      </c>
      <c r="AH35" s="39" t="n">
        <f aca="false">IF(AD35="FIJO",IF(AG35="","",AG35),IF(AF35&lt;&gt;"",AF35,IF(AG35="","",AG35)))</f>
        <v>1.6</v>
      </c>
      <c r="AI35" s="39" t="n">
        <f aca="false">IF(OR(AH35="",AB35=""),"",IFERROR(AH35/(1+AB35),""))</f>
        <v>1.32231404958678</v>
      </c>
      <c r="AJ35" s="37" t="n">
        <f aca="false">IF(OR(AI35="",AC35=""),"",IFERROR((AI35-AC35)/AI35,""))</f>
        <v>0.54625</v>
      </c>
      <c r="AK35" s="40" t="n">
        <f aca="false">IF(OR(AJ35="",AE35=""),"",AJ35-AE35)</f>
        <v>-0.05375</v>
      </c>
      <c r="AL35" s="41" t="n">
        <f aca="false">IF(OR(AH35="",AF35=""),"",AH35-AF35)</f>
        <v>-0.215</v>
      </c>
      <c r="AM35" s="42" t="str">
        <f aca="false">IF(OR(A35="",K35&lt;&gt;"SI"),"",IF(AE35="","Sin objetivo",IF(AJ35="","Faltan datos",IF(AJ35&lt;0,"PÉRDIDA",IF(AK35&lt;-UMB_CRITICO,"MUY POR DEBAJO",IF(AK35&lt;-UMB_BAJO,"POR DEBAJO",IF(AK35&lt;-UMB_AJUSTADO,"AJUSTADO",IF(AK35&lt;=UMB_ALTO,"EN OBJETIVO","POR ENCIMA"))))))))</f>
        <v>POR DEBAJO</v>
      </c>
      <c r="AN35" s="31" t="s">
        <v>52</v>
      </c>
      <c r="AO35" s="31" t="s">
        <v>184</v>
      </c>
      <c r="AP35" s="33" t="n">
        <v>24</v>
      </c>
      <c r="AQ35" s="33" t="n">
        <v>120</v>
      </c>
      <c r="AR35" s="33" t="n">
        <v>48</v>
      </c>
      <c r="AS35" s="31" t="s">
        <v>287</v>
      </c>
      <c r="AT35" s="31" t="s">
        <v>213</v>
      </c>
      <c r="AU35" s="31" t="s">
        <v>177</v>
      </c>
      <c r="AV35" s="31" t="n">
        <v>270</v>
      </c>
      <c r="AW35" s="31" t="s">
        <v>243</v>
      </c>
      <c r="AX35" s="32"/>
      <c r="AY35" s="31" t="s">
        <v>189</v>
      </c>
      <c r="AZ35" s="43" t="n">
        <v>46248</v>
      </c>
      <c r="BA35" s="32" t="s">
        <v>433</v>
      </c>
    </row>
    <row r="36" customFormat="false" ht="15" hidden="false" customHeight="false" outlineLevel="0" collapsed="false">
      <c r="A36" s="44"/>
      <c r="B36" s="44"/>
      <c r="C36" s="45"/>
      <c r="D36" s="45"/>
      <c r="E36" s="44"/>
      <c r="F36" s="44"/>
      <c r="G36" s="44"/>
      <c r="H36" s="44"/>
      <c r="I36" s="44"/>
      <c r="J36" s="44"/>
      <c r="K36" s="44"/>
      <c r="L36" s="44"/>
      <c r="M36" s="44"/>
      <c r="N36" s="44"/>
      <c r="O36" s="46"/>
      <c r="P36" s="44"/>
      <c r="Q36" s="46"/>
      <c r="R36" s="44"/>
      <c r="S36" s="45"/>
      <c r="T36" s="44"/>
      <c r="U36" s="44"/>
      <c r="V36" s="47"/>
      <c r="W36" s="48" t="str">
        <f aca="false">IF(V36="","",IFERROR(V36/O36,""))</f>
        <v/>
      </c>
      <c r="X36" s="44"/>
      <c r="Y36" s="46"/>
      <c r="Z36" s="49"/>
      <c r="AA36" s="44"/>
      <c r="AB36" s="50" t="str">
        <f aca="false">IFERROR(INDEX(TABLA_IVA!$C$3:$C$6,MATCH(AA36,TABLA_IVA!$A$3:$A$6,0)),"")</f>
        <v/>
      </c>
      <c r="AC36" s="47"/>
      <c r="AD36" s="44"/>
      <c r="AE36" s="51"/>
      <c r="AF36" s="52" t="str">
        <f aca="false">IF(OR(AC36="",AE36="",AB36=""),"",IFERROR(AC36/(1-AE36)*(1+AB36),""))</f>
        <v/>
      </c>
      <c r="AG36" s="47"/>
      <c r="AH36" s="52" t="str">
        <f aca="false">IF(AD36="FIJO",IF(AG36="","",AG36),IF(AF36&lt;&gt;"",AF36,IF(AG36="","",AG36)))</f>
        <v/>
      </c>
      <c r="AI36" s="52" t="str">
        <f aca="false">IF(OR(AH36="",AB36=""),"",IFERROR(AH36/(1+AB36),""))</f>
        <v/>
      </c>
      <c r="AJ36" s="50" t="str">
        <f aca="false">IF(OR(AI36="",AC36=""),"",IFERROR((AI36-AC36)/AI36,""))</f>
        <v/>
      </c>
      <c r="AK36" s="53" t="str">
        <f aca="false">IF(OR(AJ36="",AE36=""),"",AJ36-AE36)</f>
        <v/>
      </c>
      <c r="AL36" s="54" t="str">
        <f aca="false">IF(OR(AH36="",AF36=""),"",AH36-AF36)</f>
        <v/>
      </c>
      <c r="AM36" s="55" t="str">
        <f aca="false">IF(OR(A36="",K36&lt;&gt;"SI"),"",IF(AE36="","Sin objetivo",IF(AJ36="","Faltan datos",IF(AJ36&lt;0,"PÉRDIDA",IF(AK36&lt;-UMB_CRITICO,"MUY POR DEBAJO",IF(AK36&lt;-UMB_BAJO,"POR DEBAJO",IF(AK36&lt;-UMB_AJUSTADO,"AJUSTADO",IF(AK36&lt;=UMB_ALTO,"EN OBJETIVO","POR ENCIMA"))))))))</f>
        <v/>
      </c>
      <c r="AN36" s="44"/>
      <c r="AO36" s="44"/>
      <c r="AP36" s="46"/>
      <c r="AQ36" s="46"/>
      <c r="AR36" s="46"/>
      <c r="AS36" s="44"/>
      <c r="AT36" s="44"/>
      <c r="AU36" s="44"/>
      <c r="AV36" s="44"/>
      <c r="AW36" s="44"/>
      <c r="AX36" s="45"/>
      <c r="AY36" s="44"/>
      <c r="AZ36" s="56"/>
      <c r="BA36" s="45"/>
    </row>
    <row r="37" customFormat="false" ht="15" hidden="false" customHeight="false" outlineLevel="0" collapsed="false">
      <c r="A37" s="44"/>
      <c r="B37" s="44"/>
      <c r="C37" s="45"/>
      <c r="D37" s="45"/>
      <c r="E37" s="44"/>
      <c r="F37" s="44"/>
      <c r="G37" s="44"/>
      <c r="H37" s="44"/>
      <c r="I37" s="44"/>
      <c r="J37" s="44"/>
      <c r="K37" s="44"/>
      <c r="L37" s="44"/>
      <c r="M37" s="44"/>
      <c r="N37" s="44"/>
      <c r="O37" s="46"/>
      <c r="P37" s="44"/>
      <c r="Q37" s="46"/>
      <c r="R37" s="44"/>
      <c r="S37" s="45"/>
      <c r="T37" s="44"/>
      <c r="U37" s="44"/>
      <c r="V37" s="47"/>
      <c r="W37" s="48" t="str">
        <f aca="false">IF(V37="","",IFERROR(V37/O37,""))</f>
        <v/>
      </c>
      <c r="X37" s="44"/>
      <c r="Y37" s="46"/>
      <c r="Z37" s="49"/>
      <c r="AA37" s="44"/>
      <c r="AB37" s="50" t="str">
        <f aca="false">IFERROR(INDEX(TABLA_IVA!$C$3:$C$6,MATCH(AA37,TABLA_IVA!$A$3:$A$6,0)),"")</f>
        <v/>
      </c>
      <c r="AC37" s="47"/>
      <c r="AD37" s="44"/>
      <c r="AE37" s="51"/>
      <c r="AF37" s="52" t="str">
        <f aca="false">IF(OR(AC37="",AE37="",AB37=""),"",IFERROR(AC37/(1-AE37)*(1+AB37),""))</f>
        <v/>
      </c>
      <c r="AG37" s="47"/>
      <c r="AH37" s="52" t="str">
        <f aca="false">IF(AD37="FIJO",IF(AG37="","",AG37),IF(AF37&lt;&gt;"",AF37,IF(AG37="","",AG37)))</f>
        <v/>
      </c>
      <c r="AI37" s="52" t="str">
        <f aca="false">IF(OR(AH37="",AB37=""),"",IFERROR(AH37/(1+AB37),""))</f>
        <v/>
      </c>
      <c r="AJ37" s="50" t="str">
        <f aca="false">IF(OR(AI37="",AC37=""),"",IFERROR((AI37-AC37)/AI37,""))</f>
        <v/>
      </c>
      <c r="AK37" s="53" t="str">
        <f aca="false">IF(OR(AJ37="",AE37=""),"",AJ37-AE37)</f>
        <v/>
      </c>
      <c r="AL37" s="54" t="str">
        <f aca="false">IF(OR(AH37="",AF37=""),"",AH37-AF37)</f>
        <v/>
      </c>
      <c r="AM37" s="55" t="str">
        <f aca="false">IF(OR(A37="",K37&lt;&gt;"SI"),"",IF(AE37="","Sin objetivo",IF(AJ37="","Faltan datos",IF(AJ37&lt;0,"PÉRDIDA",IF(AK37&lt;-UMB_CRITICO,"MUY POR DEBAJO",IF(AK37&lt;-UMB_BAJO,"POR DEBAJO",IF(AK37&lt;-UMB_AJUSTADO,"AJUSTADO",IF(AK37&lt;=UMB_ALTO,"EN OBJETIVO","POR ENCIMA"))))))))</f>
        <v/>
      </c>
      <c r="AN37" s="44"/>
      <c r="AO37" s="44"/>
      <c r="AP37" s="46"/>
      <c r="AQ37" s="46"/>
      <c r="AR37" s="46"/>
      <c r="AS37" s="44"/>
      <c r="AT37" s="44"/>
      <c r="AU37" s="44"/>
      <c r="AV37" s="44"/>
      <c r="AW37" s="44"/>
      <c r="AX37" s="45"/>
      <c r="AY37" s="44"/>
      <c r="AZ37" s="56"/>
      <c r="BA37" s="45"/>
    </row>
    <row r="38" customFormat="false" ht="15" hidden="false" customHeight="false" outlineLevel="0" collapsed="false">
      <c r="A38" s="44"/>
      <c r="B38" s="44"/>
      <c r="C38" s="45"/>
      <c r="D38" s="45"/>
      <c r="E38" s="44"/>
      <c r="F38" s="44"/>
      <c r="G38" s="44"/>
      <c r="H38" s="44"/>
      <c r="I38" s="44"/>
      <c r="J38" s="44"/>
      <c r="K38" s="44"/>
      <c r="L38" s="44"/>
      <c r="M38" s="44"/>
      <c r="N38" s="44"/>
      <c r="O38" s="46"/>
      <c r="P38" s="44"/>
      <c r="Q38" s="46"/>
      <c r="R38" s="44"/>
      <c r="S38" s="45"/>
      <c r="T38" s="44"/>
      <c r="U38" s="44"/>
      <c r="V38" s="47"/>
      <c r="W38" s="48" t="str">
        <f aca="false">IF(V38="","",IFERROR(V38/O38,""))</f>
        <v/>
      </c>
      <c r="X38" s="44"/>
      <c r="Y38" s="46"/>
      <c r="Z38" s="49"/>
      <c r="AA38" s="44"/>
      <c r="AB38" s="50" t="str">
        <f aca="false">IFERROR(INDEX(TABLA_IVA!$C$3:$C$6,MATCH(AA38,TABLA_IVA!$A$3:$A$6,0)),"")</f>
        <v/>
      </c>
      <c r="AC38" s="47"/>
      <c r="AD38" s="44"/>
      <c r="AE38" s="51"/>
      <c r="AF38" s="52" t="str">
        <f aca="false">IF(OR(AC38="",AE38="",AB38=""),"",IFERROR(AC38/(1-AE38)*(1+AB38),""))</f>
        <v/>
      </c>
      <c r="AG38" s="47"/>
      <c r="AH38" s="52" t="str">
        <f aca="false">IF(AD38="FIJO",IF(AG38="","",AG38),IF(AF38&lt;&gt;"",AF38,IF(AG38="","",AG38)))</f>
        <v/>
      </c>
      <c r="AI38" s="52" t="str">
        <f aca="false">IF(OR(AH38="",AB38=""),"",IFERROR(AH38/(1+AB38),""))</f>
        <v/>
      </c>
      <c r="AJ38" s="50" t="str">
        <f aca="false">IF(OR(AI38="",AC38=""),"",IFERROR((AI38-AC38)/AI38,""))</f>
        <v/>
      </c>
      <c r="AK38" s="53" t="str">
        <f aca="false">IF(OR(AJ38="",AE38=""),"",AJ38-AE38)</f>
        <v/>
      </c>
      <c r="AL38" s="54" t="str">
        <f aca="false">IF(OR(AH38="",AF38=""),"",AH38-AF38)</f>
        <v/>
      </c>
      <c r="AM38" s="55" t="str">
        <f aca="false">IF(OR(A38="",K38&lt;&gt;"SI"),"",IF(AE38="","Sin objetivo",IF(AJ38="","Faltan datos",IF(AJ38&lt;0,"PÉRDIDA",IF(AK38&lt;-UMB_CRITICO,"MUY POR DEBAJO",IF(AK38&lt;-UMB_BAJO,"POR DEBAJO",IF(AK38&lt;-UMB_AJUSTADO,"AJUSTADO",IF(AK38&lt;=UMB_ALTO,"EN OBJETIVO","POR ENCIMA"))))))))</f>
        <v/>
      </c>
      <c r="AN38" s="44"/>
      <c r="AO38" s="44"/>
      <c r="AP38" s="46"/>
      <c r="AQ38" s="46"/>
      <c r="AR38" s="46"/>
      <c r="AS38" s="44"/>
      <c r="AT38" s="44"/>
      <c r="AU38" s="44"/>
      <c r="AV38" s="44"/>
      <c r="AW38" s="44"/>
      <c r="AX38" s="45"/>
      <c r="AY38" s="44"/>
      <c r="AZ38" s="56"/>
      <c r="BA38" s="45"/>
    </row>
    <row r="39" customFormat="false" ht="15" hidden="false" customHeight="false" outlineLevel="0" collapsed="false">
      <c r="A39" s="44"/>
      <c r="B39" s="44"/>
      <c r="C39" s="45"/>
      <c r="D39" s="45"/>
      <c r="E39" s="44"/>
      <c r="F39" s="44"/>
      <c r="G39" s="44"/>
      <c r="H39" s="44"/>
      <c r="I39" s="44"/>
      <c r="J39" s="44"/>
      <c r="K39" s="44"/>
      <c r="L39" s="44"/>
      <c r="M39" s="44"/>
      <c r="N39" s="44"/>
      <c r="O39" s="46"/>
      <c r="P39" s="44"/>
      <c r="Q39" s="46"/>
      <c r="R39" s="44"/>
      <c r="S39" s="45"/>
      <c r="T39" s="44"/>
      <c r="U39" s="44"/>
      <c r="V39" s="47"/>
      <c r="W39" s="48" t="str">
        <f aca="false">IF(V39="","",IFERROR(V39/O39,""))</f>
        <v/>
      </c>
      <c r="X39" s="44"/>
      <c r="Y39" s="46"/>
      <c r="Z39" s="49"/>
      <c r="AA39" s="44"/>
      <c r="AB39" s="50" t="str">
        <f aca="false">IFERROR(INDEX(TABLA_IVA!$C$3:$C$6,MATCH(AA39,TABLA_IVA!$A$3:$A$6,0)),"")</f>
        <v/>
      </c>
      <c r="AC39" s="47"/>
      <c r="AD39" s="44"/>
      <c r="AE39" s="51"/>
      <c r="AF39" s="52" t="str">
        <f aca="false">IF(OR(AC39="",AE39="",AB39=""),"",IFERROR(AC39/(1-AE39)*(1+AB39),""))</f>
        <v/>
      </c>
      <c r="AG39" s="47"/>
      <c r="AH39" s="52" t="str">
        <f aca="false">IF(AD39="FIJO",IF(AG39="","",AG39),IF(AF39&lt;&gt;"",AF39,IF(AG39="","",AG39)))</f>
        <v/>
      </c>
      <c r="AI39" s="52" t="str">
        <f aca="false">IF(OR(AH39="",AB39=""),"",IFERROR(AH39/(1+AB39),""))</f>
        <v/>
      </c>
      <c r="AJ39" s="50" t="str">
        <f aca="false">IF(OR(AI39="",AC39=""),"",IFERROR((AI39-AC39)/AI39,""))</f>
        <v/>
      </c>
      <c r="AK39" s="53" t="str">
        <f aca="false">IF(OR(AJ39="",AE39=""),"",AJ39-AE39)</f>
        <v/>
      </c>
      <c r="AL39" s="54" t="str">
        <f aca="false">IF(OR(AH39="",AF39=""),"",AH39-AF39)</f>
        <v/>
      </c>
      <c r="AM39" s="55" t="str">
        <f aca="false">IF(OR(A39="",K39&lt;&gt;"SI"),"",IF(AE39="","Sin objetivo",IF(AJ39="","Faltan datos",IF(AJ39&lt;0,"PÉRDIDA",IF(AK39&lt;-UMB_CRITICO,"MUY POR DEBAJO",IF(AK39&lt;-UMB_BAJO,"POR DEBAJO",IF(AK39&lt;-UMB_AJUSTADO,"AJUSTADO",IF(AK39&lt;=UMB_ALTO,"EN OBJETIVO","POR ENCIMA"))))))))</f>
        <v/>
      </c>
      <c r="AN39" s="44"/>
      <c r="AO39" s="44"/>
      <c r="AP39" s="46"/>
      <c r="AQ39" s="46"/>
      <c r="AR39" s="46"/>
      <c r="AS39" s="44"/>
      <c r="AT39" s="44"/>
      <c r="AU39" s="44"/>
      <c r="AV39" s="44"/>
      <c r="AW39" s="44"/>
      <c r="AX39" s="45"/>
      <c r="AY39" s="44"/>
      <c r="AZ39" s="56"/>
      <c r="BA39" s="45"/>
    </row>
    <row r="40" customFormat="false" ht="15" hidden="false" customHeight="false" outlineLevel="0" collapsed="false">
      <c r="A40" s="44"/>
      <c r="B40" s="44"/>
      <c r="C40" s="45"/>
      <c r="D40" s="45"/>
      <c r="E40" s="44"/>
      <c r="F40" s="44"/>
      <c r="G40" s="44"/>
      <c r="H40" s="44"/>
      <c r="I40" s="44"/>
      <c r="J40" s="44"/>
      <c r="K40" s="44"/>
      <c r="L40" s="44"/>
      <c r="M40" s="44"/>
      <c r="N40" s="44"/>
      <c r="O40" s="46"/>
      <c r="P40" s="44"/>
      <c r="Q40" s="46"/>
      <c r="R40" s="44"/>
      <c r="S40" s="45"/>
      <c r="T40" s="44"/>
      <c r="U40" s="44"/>
      <c r="V40" s="47"/>
      <c r="W40" s="48" t="str">
        <f aca="false">IF(V40="","",IFERROR(V40/O40,""))</f>
        <v/>
      </c>
      <c r="X40" s="44"/>
      <c r="Y40" s="46"/>
      <c r="Z40" s="49"/>
      <c r="AA40" s="44"/>
      <c r="AB40" s="50" t="str">
        <f aca="false">IFERROR(INDEX(TABLA_IVA!$C$3:$C$6,MATCH(AA40,TABLA_IVA!$A$3:$A$6,0)),"")</f>
        <v/>
      </c>
      <c r="AC40" s="47"/>
      <c r="AD40" s="44"/>
      <c r="AE40" s="51"/>
      <c r="AF40" s="52" t="str">
        <f aca="false">IF(OR(AC40="",AE40="",AB40=""),"",IFERROR(AC40/(1-AE40)*(1+AB40),""))</f>
        <v/>
      </c>
      <c r="AG40" s="47"/>
      <c r="AH40" s="52" t="str">
        <f aca="false">IF(AD40="FIJO",IF(AG40="","",AG40),IF(AF40&lt;&gt;"",AF40,IF(AG40="","",AG40)))</f>
        <v/>
      </c>
      <c r="AI40" s="52" t="str">
        <f aca="false">IF(OR(AH40="",AB40=""),"",IFERROR(AH40/(1+AB40),""))</f>
        <v/>
      </c>
      <c r="AJ40" s="50" t="str">
        <f aca="false">IF(OR(AI40="",AC40=""),"",IFERROR((AI40-AC40)/AI40,""))</f>
        <v/>
      </c>
      <c r="AK40" s="53" t="str">
        <f aca="false">IF(OR(AJ40="",AE40=""),"",AJ40-AE40)</f>
        <v/>
      </c>
      <c r="AL40" s="54" t="str">
        <f aca="false">IF(OR(AH40="",AF40=""),"",AH40-AF40)</f>
        <v/>
      </c>
      <c r="AM40" s="55" t="str">
        <f aca="false">IF(OR(A40="",K40&lt;&gt;"SI"),"",IF(AE40="","Sin objetivo",IF(AJ40="","Faltan datos",IF(AJ40&lt;0,"PÉRDIDA",IF(AK40&lt;-UMB_CRITICO,"MUY POR DEBAJO",IF(AK40&lt;-UMB_BAJO,"POR DEBAJO",IF(AK40&lt;-UMB_AJUSTADO,"AJUSTADO",IF(AK40&lt;=UMB_ALTO,"EN OBJETIVO","POR ENCIMA"))))))))</f>
        <v/>
      </c>
      <c r="AN40" s="44"/>
      <c r="AO40" s="44"/>
      <c r="AP40" s="46"/>
      <c r="AQ40" s="46"/>
      <c r="AR40" s="46"/>
      <c r="AS40" s="44"/>
      <c r="AT40" s="44"/>
      <c r="AU40" s="44"/>
      <c r="AV40" s="44"/>
      <c r="AW40" s="44"/>
      <c r="AX40" s="45"/>
      <c r="AY40" s="44"/>
      <c r="AZ40" s="56"/>
      <c r="BA40" s="45"/>
    </row>
    <row r="41" customFormat="false" ht="15" hidden="false" customHeight="false" outlineLevel="0" collapsed="false">
      <c r="A41" s="44"/>
      <c r="B41" s="44"/>
      <c r="C41" s="45"/>
      <c r="D41" s="45"/>
      <c r="E41" s="44"/>
      <c r="F41" s="44"/>
      <c r="G41" s="44"/>
      <c r="H41" s="44"/>
      <c r="I41" s="44"/>
      <c r="J41" s="44"/>
      <c r="K41" s="44"/>
      <c r="L41" s="44"/>
      <c r="M41" s="44"/>
      <c r="N41" s="44"/>
      <c r="O41" s="46"/>
      <c r="P41" s="44"/>
      <c r="Q41" s="46"/>
      <c r="R41" s="44"/>
      <c r="S41" s="45"/>
      <c r="T41" s="44"/>
      <c r="U41" s="44"/>
      <c r="V41" s="47"/>
      <c r="W41" s="48" t="str">
        <f aca="false">IF(V41="","",IFERROR(V41/O41,""))</f>
        <v/>
      </c>
      <c r="X41" s="44"/>
      <c r="Y41" s="46"/>
      <c r="Z41" s="49"/>
      <c r="AA41" s="44"/>
      <c r="AB41" s="50" t="str">
        <f aca="false">IFERROR(INDEX(TABLA_IVA!$C$3:$C$6,MATCH(AA41,TABLA_IVA!$A$3:$A$6,0)),"")</f>
        <v/>
      </c>
      <c r="AC41" s="47"/>
      <c r="AD41" s="44"/>
      <c r="AE41" s="51"/>
      <c r="AF41" s="52" t="str">
        <f aca="false">IF(OR(AC41="",AE41="",AB41=""),"",IFERROR(AC41/(1-AE41)*(1+AB41),""))</f>
        <v/>
      </c>
      <c r="AG41" s="47"/>
      <c r="AH41" s="52" t="str">
        <f aca="false">IF(AD41="FIJO",IF(AG41="","",AG41),IF(AF41&lt;&gt;"",AF41,IF(AG41="","",AG41)))</f>
        <v/>
      </c>
      <c r="AI41" s="52" t="str">
        <f aca="false">IF(OR(AH41="",AB41=""),"",IFERROR(AH41/(1+AB41),""))</f>
        <v/>
      </c>
      <c r="AJ41" s="50" t="str">
        <f aca="false">IF(OR(AI41="",AC41=""),"",IFERROR((AI41-AC41)/AI41,""))</f>
        <v/>
      </c>
      <c r="AK41" s="53" t="str">
        <f aca="false">IF(OR(AJ41="",AE41=""),"",AJ41-AE41)</f>
        <v/>
      </c>
      <c r="AL41" s="54" t="str">
        <f aca="false">IF(OR(AH41="",AF41=""),"",AH41-AF41)</f>
        <v/>
      </c>
      <c r="AM41" s="55" t="str">
        <f aca="false">IF(OR(A41="",K41&lt;&gt;"SI"),"",IF(AE41="","Sin objetivo",IF(AJ41="","Faltan datos",IF(AJ41&lt;0,"PÉRDIDA",IF(AK41&lt;-UMB_CRITICO,"MUY POR DEBAJO",IF(AK41&lt;-UMB_BAJO,"POR DEBAJO",IF(AK41&lt;-UMB_AJUSTADO,"AJUSTADO",IF(AK41&lt;=UMB_ALTO,"EN OBJETIVO","POR ENCIMA"))))))))</f>
        <v/>
      </c>
      <c r="AN41" s="44"/>
      <c r="AO41" s="44"/>
      <c r="AP41" s="46"/>
      <c r="AQ41" s="46"/>
      <c r="AR41" s="46"/>
      <c r="AS41" s="44"/>
      <c r="AT41" s="44"/>
      <c r="AU41" s="44"/>
      <c r="AV41" s="44"/>
      <c r="AW41" s="44"/>
      <c r="AX41" s="45"/>
      <c r="AY41" s="44"/>
      <c r="AZ41" s="56"/>
      <c r="BA41" s="45"/>
    </row>
    <row r="42" customFormat="false" ht="15" hidden="false" customHeight="false" outlineLevel="0" collapsed="false">
      <c r="A42" s="44"/>
      <c r="B42" s="44"/>
      <c r="C42" s="45"/>
      <c r="D42" s="45"/>
      <c r="E42" s="44"/>
      <c r="F42" s="44"/>
      <c r="G42" s="44"/>
      <c r="H42" s="44"/>
      <c r="I42" s="44"/>
      <c r="J42" s="44"/>
      <c r="K42" s="44"/>
      <c r="L42" s="44"/>
      <c r="M42" s="44"/>
      <c r="N42" s="44"/>
      <c r="O42" s="46"/>
      <c r="P42" s="44"/>
      <c r="Q42" s="46"/>
      <c r="R42" s="44"/>
      <c r="S42" s="45"/>
      <c r="T42" s="44"/>
      <c r="U42" s="44"/>
      <c r="V42" s="47"/>
      <c r="W42" s="48" t="str">
        <f aca="false">IF(V42="","",IFERROR(V42/O42,""))</f>
        <v/>
      </c>
      <c r="X42" s="44"/>
      <c r="Y42" s="46"/>
      <c r="Z42" s="49"/>
      <c r="AA42" s="44"/>
      <c r="AB42" s="50" t="str">
        <f aca="false">IFERROR(INDEX(TABLA_IVA!$C$3:$C$6,MATCH(AA42,TABLA_IVA!$A$3:$A$6,0)),"")</f>
        <v/>
      </c>
      <c r="AC42" s="47"/>
      <c r="AD42" s="44"/>
      <c r="AE42" s="51"/>
      <c r="AF42" s="52" t="str">
        <f aca="false">IF(OR(AC42="",AE42="",AB42=""),"",IFERROR(AC42/(1-AE42)*(1+AB42),""))</f>
        <v/>
      </c>
      <c r="AG42" s="47"/>
      <c r="AH42" s="52" t="str">
        <f aca="false">IF(AD42="FIJO",IF(AG42="","",AG42),IF(AF42&lt;&gt;"",AF42,IF(AG42="","",AG42)))</f>
        <v/>
      </c>
      <c r="AI42" s="52" t="str">
        <f aca="false">IF(OR(AH42="",AB42=""),"",IFERROR(AH42/(1+AB42),""))</f>
        <v/>
      </c>
      <c r="AJ42" s="50" t="str">
        <f aca="false">IF(OR(AI42="",AC42=""),"",IFERROR((AI42-AC42)/AI42,""))</f>
        <v/>
      </c>
      <c r="AK42" s="53" t="str">
        <f aca="false">IF(OR(AJ42="",AE42=""),"",AJ42-AE42)</f>
        <v/>
      </c>
      <c r="AL42" s="54" t="str">
        <f aca="false">IF(OR(AH42="",AF42=""),"",AH42-AF42)</f>
        <v/>
      </c>
      <c r="AM42" s="55" t="str">
        <f aca="false">IF(OR(A42="",K42&lt;&gt;"SI"),"",IF(AE42="","Sin objetivo",IF(AJ42="","Faltan datos",IF(AJ42&lt;0,"PÉRDIDA",IF(AK42&lt;-UMB_CRITICO,"MUY POR DEBAJO",IF(AK42&lt;-UMB_BAJO,"POR DEBAJO",IF(AK42&lt;-UMB_AJUSTADO,"AJUSTADO",IF(AK42&lt;=UMB_ALTO,"EN OBJETIVO","POR ENCIMA"))))))))</f>
        <v/>
      </c>
      <c r="AN42" s="44"/>
      <c r="AO42" s="44"/>
      <c r="AP42" s="46"/>
      <c r="AQ42" s="46"/>
      <c r="AR42" s="46"/>
      <c r="AS42" s="44"/>
      <c r="AT42" s="44"/>
      <c r="AU42" s="44"/>
      <c r="AV42" s="44"/>
      <c r="AW42" s="44"/>
      <c r="AX42" s="45"/>
      <c r="AY42" s="44"/>
      <c r="AZ42" s="56"/>
      <c r="BA42" s="45"/>
    </row>
    <row r="43" customFormat="false" ht="15" hidden="false" customHeight="false" outlineLevel="0" collapsed="false">
      <c r="A43" s="44"/>
      <c r="B43" s="44"/>
      <c r="C43" s="45"/>
      <c r="D43" s="45"/>
      <c r="E43" s="44"/>
      <c r="F43" s="44"/>
      <c r="G43" s="44"/>
      <c r="H43" s="44"/>
      <c r="I43" s="44"/>
      <c r="J43" s="44"/>
      <c r="K43" s="44"/>
      <c r="L43" s="44"/>
      <c r="M43" s="44"/>
      <c r="N43" s="44"/>
      <c r="O43" s="46"/>
      <c r="P43" s="44"/>
      <c r="Q43" s="46"/>
      <c r="R43" s="44"/>
      <c r="S43" s="45"/>
      <c r="T43" s="44"/>
      <c r="U43" s="44"/>
      <c r="V43" s="47"/>
      <c r="W43" s="48" t="str">
        <f aca="false">IF(V43="","",IFERROR(V43/O43,""))</f>
        <v/>
      </c>
      <c r="X43" s="44"/>
      <c r="Y43" s="46"/>
      <c r="Z43" s="49"/>
      <c r="AA43" s="44"/>
      <c r="AB43" s="50" t="str">
        <f aca="false">IFERROR(INDEX(TABLA_IVA!$C$3:$C$6,MATCH(AA43,TABLA_IVA!$A$3:$A$6,0)),"")</f>
        <v/>
      </c>
      <c r="AC43" s="47"/>
      <c r="AD43" s="44"/>
      <c r="AE43" s="51"/>
      <c r="AF43" s="52" t="str">
        <f aca="false">IF(OR(AC43="",AE43="",AB43=""),"",IFERROR(AC43/(1-AE43)*(1+AB43),""))</f>
        <v/>
      </c>
      <c r="AG43" s="47"/>
      <c r="AH43" s="52" t="str">
        <f aca="false">IF(AD43="FIJO",IF(AG43="","",AG43),IF(AF43&lt;&gt;"",AF43,IF(AG43="","",AG43)))</f>
        <v/>
      </c>
      <c r="AI43" s="52" t="str">
        <f aca="false">IF(OR(AH43="",AB43=""),"",IFERROR(AH43/(1+AB43),""))</f>
        <v/>
      </c>
      <c r="AJ43" s="50" t="str">
        <f aca="false">IF(OR(AI43="",AC43=""),"",IFERROR((AI43-AC43)/AI43,""))</f>
        <v/>
      </c>
      <c r="AK43" s="53" t="str">
        <f aca="false">IF(OR(AJ43="",AE43=""),"",AJ43-AE43)</f>
        <v/>
      </c>
      <c r="AL43" s="54" t="str">
        <f aca="false">IF(OR(AH43="",AF43=""),"",AH43-AF43)</f>
        <v/>
      </c>
      <c r="AM43" s="55" t="str">
        <f aca="false">IF(OR(A43="",K43&lt;&gt;"SI"),"",IF(AE43="","Sin objetivo",IF(AJ43="","Faltan datos",IF(AJ43&lt;0,"PÉRDIDA",IF(AK43&lt;-UMB_CRITICO,"MUY POR DEBAJO",IF(AK43&lt;-UMB_BAJO,"POR DEBAJO",IF(AK43&lt;-UMB_AJUSTADO,"AJUSTADO",IF(AK43&lt;=UMB_ALTO,"EN OBJETIVO","POR ENCIMA"))))))))</f>
        <v/>
      </c>
      <c r="AN43" s="44"/>
      <c r="AO43" s="44"/>
      <c r="AP43" s="46"/>
      <c r="AQ43" s="46"/>
      <c r="AR43" s="46"/>
      <c r="AS43" s="44"/>
      <c r="AT43" s="44"/>
      <c r="AU43" s="44"/>
      <c r="AV43" s="44"/>
      <c r="AW43" s="44"/>
      <c r="AX43" s="45"/>
      <c r="AY43" s="44"/>
      <c r="AZ43" s="56"/>
      <c r="BA43" s="45"/>
    </row>
    <row r="44" customFormat="false" ht="15" hidden="false" customHeight="false" outlineLevel="0" collapsed="false">
      <c r="A44" s="44"/>
      <c r="B44" s="44"/>
      <c r="C44" s="45"/>
      <c r="D44" s="45"/>
      <c r="E44" s="44"/>
      <c r="F44" s="44"/>
      <c r="G44" s="44"/>
      <c r="H44" s="44"/>
      <c r="I44" s="44"/>
      <c r="J44" s="44"/>
      <c r="K44" s="44"/>
      <c r="L44" s="44"/>
      <c r="M44" s="44"/>
      <c r="N44" s="44"/>
      <c r="O44" s="46"/>
      <c r="P44" s="44"/>
      <c r="Q44" s="46"/>
      <c r="R44" s="44"/>
      <c r="S44" s="45"/>
      <c r="T44" s="44"/>
      <c r="U44" s="44"/>
      <c r="V44" s="47"/>
      <c r="W44" s="48" t="str">
        <f aca="false">IF(V44="","",IFERROR(V44/O44,""))</f>
        <v/>
      </c>
      <c r="X44" s="44"/>
      <c r="Y44" s="46"/>
      <c r="Z44" s="49"/>
      <c r="AA44" s="44"/>
      <c r="AB44" s="50" t="str">
        <f aca="false">IFERROR(INDEX(TABLA_IVA!$C$3:$C$6,MATCH(AA44,TABLA_IVA!$A$3:$A$6,0)),"")</f>
        <v/>
      </c>
      <c r="AC44" s="47"/>
      <c r="AD44" s="44"/>
      <c r="AE44" s="51"/>
      <c r="AF44" s="52" t="str">
        <f aca="false">IF(OR(AC44="",AE44="",AB44=""),"",IFERROR(AC44/(1-AE44)*(1+AB44),""))</f>
        <v/>
      </c>
      <c r="AG44" s="47"/>
      <c r="AH44" s="52" t="str">
        <f aca="false">IF(AD44="FIJO",IF(AG44="","",AG44),IF(AF44&lt;&gt;"",AF44,IF(AG44="","",AG44)))</f>
        <v/>
      </c>
      <c r="AI44" s="52" t="str">
        <f aca="false">IF(OR(AH44="",AB44=""),"",IFERROR(AH44/(1+AB44),""))</f>
        <v/>
      </c>
      <c r="AJ44" s="50" t="str">
        <f aca="false">IF(OR(AI44="",AC44=""),"",IFERROR((AI44-AC44)/AI44,""))</f>
        <v/>
      </c>
      <c r="AK44" s="53" t="str">
        <f aca="false">IF(OR(AJ44="",AE44=""),"",AJ44-AE44)</f>
        <v/>
      </c>
      <c r="AL44" s="54" t="str">
        <f aca="false">IF(OR(AH44="",AF44=""),"",AH44-AF44)</f>
        <v/>
      </c>
      <c r="AM44" s="55" t="str">
        <f aca="false">IF(OR(A44="",K44&lt;&gt;"SI"),"",IF(AE44="","Sin objetivo",IF(AJ44="","Faltan datos",IF(AJ44&lt;0,"PÉRDIDA",IF(AK44&lt;-UMB_CRITICO,"MUY POR DEBAJO",IF(AK44&lt;-UMB_BAJO,"POR DEBAJO",IF(AK44&lt;-UMB_AJUSTADO,"AJUSTADO",IF(AK44&lt;=UMB_ALTO,"EN OBJETIVO","POR ENCIMA"))))))))</f>
        <v/>
      </c>
      <c r="AN44" s="44"/>
      <c r="AO44" s="44"/>
      <c r="AP44" s="46"/>
      <c r="AQ44" s="46"/>
      <c r="AR44" s="46"/>
      <c r="AS44" s="44"/>
      <c r="AT44" s="44"/>
      <c r="AU44" s="44"/>
      <c r="AV44" s="44"/>
      <c r="AW44" s="44"/>
      <c r="AX44" s="45"/>
      <c r="AY44" s="44"/>
      <c r="AZ44" s="56"/>
      <c r="BA44" s="45"/>
    </row>
    <row r="45" customFormat="false" ht="15" hidden="false" customHeight="false" outlineLevel="0" collapsed="false">
      <c r="A45" s="44"/>
      <c r="B45" s="44"/>
      <c r="C45" s="45"/>
      <c r="D45" s="45"/>
      <c r="E45" s="44"/>
      <c r="F45" s="44"/>
      <c r="G45" s="44"/>
      <c r="H45" s="44"/>
      <c r="I45" s="44"/>
      <c r="J45" s="44"/>
      <c r="K45" s="44"/>
      <c r="L45" s="44"/>
      <c r="M45" s="44"/>
      <c r="N45" s="44"/>
      <c r="O45" s="46"/>
      <c r="P45" s="44"/>
      <c r="Q45" s="46"/>
      <c r="R45" s="44"/>
      <c r="S45" s="45"/>
      <c r="T45" s="44"/>
      <c r="U45" s="44"/>
      <c r="V45" s="47"/>
      <c r="W45" s="48" t="str">
        <f aca="false">IF(V45="","",IFERROR(V45/O45,""))</f>
        <v/>
      </c>
      <c r="X45" s="44"/>
      <c r="Y45" s="46"/>
      <c r="Z45" s="49"/>
      <c r="AA45" s="44"/>
      <c r="AB45" s="50" t="str">
        <f aca="false">IFERROR(INDEX(TABLA_IVA!$C$3:$C$6,MATCH(AA45,TABLA_IVA!$A$3:$A$6,0)),"")</f>
        <v/>
      </c>
      <c r="AC45" s="47"/>
      <c r="AD45" s="44"/>
      <c r="AE45" s="51"/>
      <c r="AF45" s="52" t="str">
        <f aca="false">IF(OR(AC45="",AE45="",AB45=""),"",IFERROR(AC45/(1-AE45)*(1+AB45),""))</f>
        <v/>
      </c>
      <c r="AG45" s="47"/>
      <c r="AH45" s="52" t="str">
        <f aca="false">IF(AD45="FIJO",IF(AG45="","",AG45),IF(AF45&lt;&gt;"",AF45,IF(AG45="","",AG45)))</f>
        <v/>
      </c>
      <c r="AI45" s="52" t="str">
        <f aca="false">IF(OR(AH45="",AB45=""),"",IFERROR(AH45/(1+AB45),""))</f>
        <v/>
      </c>
      <c r="AJ45" s="50" t="str">
        <f aca="false">IF(OR(AI45="",AC45=""),"",IFERROR((AI45-AC45)/AI45,""))</f>
        <v/>
      </c>
      <c r="AK45" s="53" t="str">
        <f aca="false">IF(OR(AJ45="",AE45=""),"",AJ45-AE45)</f>
        <v/>
      </c>
      <c r="AL45" s="54" t="str">
        <f aca="false">IF(OR(AH45="",AF45=""),"",AH45-AF45)</f>
        <v/>
      </c>
      <c r="AM45" s="55" t="str">
        <f aca="false">IF(OR(A45="",K45&lt;&gt;"SI"),"",IF(AE45="","Sin objetivo",IF(AJ45="","Faltan datos",IF(AJ45&lt;0,"PÉRDIDA",IF(AK45&lt;-UMB_CRITICO,"MUY POR DEBAJO",IF(AK45&lt;-UMB_BAJO,"POR DEBAJO",IF(AK45&lt;-UMB_AJUSTADO,"AJUSTADO",IF(AK45&lt;=UMB_ALTO,"EN OBJETIVO","POR ENCIMA"))))))))</f>
        <v/>
      </c>
      <c r="AN45" s="44"/>
      <c r="AO45" s="44"/>
      <c r="AP45" s="46"/>
      <c r="AQ45" s="46"/>
      <c r="AR45" s="46"/>
      <c r="AS45" s="44"/>
      <c r="AT45" s="44"/>
      <c r="AU45" s="44"/>
      <c r="AV45" s="44"/>
      <c r="AW45" s="44"/>
      <c r="AX45" s="45"/>
      <c r="AY45" s="44"/>
      <c r="AZ45" s="56"/>
      <c r="BA45" s="45"/>
    </row>
    <row r="46" customFormat="false" ht="15" hidden="false" customHeight="false" outlineLevel="0" collapsed="false">
      <c r="A46" s="44"/>
      <c r="B46" s="44"/>
      <c r="C46" s="45"/>
      <c r="D46" s="45"/>
      <c r="E46" s="44"/>
      <c r="F46" s="44"/>
      <c r="G46" s="44"/>
      <c r="H46" s="44"/>
      <c r="I46" s="44"/>
      <c r="J46" s="44"/>
      <c r="K46" s="44"/>
      <c r="L46" s="44"/>
      <c r="M46" s="44"/>
      <c r="N46" s="44"/>
      <c r="O46" s="46"/>
      <c r="P46" s="44"/>
      <c r="Q46" s="46"/>
      <c r="R46" s="44"/>
      <c r="S46" s="45"/>
      <c r="T46" s="44"/>
      <c r="U46" s="44"/>
      <c r="V46" s="47"/>
      <c r="W46" s="48" t="str">
        <f aca="false">IF(V46="","",IFERROR(V46/O46,""))</f>
        <v/>
      </c>
      <c r="X46" s="44"/>
      <c r="Y46" s="46"/>
      <c r="Z46" s="49"/>
      <c r="AA46" s="44"/>
      <c r="AB46" s="50" t="str">
        <f aca="false">IFERROR(INDEX(TABLA_IVA!$C$3:$C$6,MATCH(AA46,TABLA_IVA!$A$3:$A$6,0)),"")</f>
        <v/>
      </c>
      <c r="AC46" s="47"/>
      <c r="AD46" s="44"/>
      <c r="AE46" s="51"/>
      <c r="AF46" s="52" t="str">
        <f aca="false">IF(OR(AC46="",AE46="",AB46=""),"",IFERROR(AC46/(1-AE46)*(1+AB46),""))</f>
        <v/>
      </c>
      <c r="AG46" s="47"/>
      <c r="AH46" s="52" t="str">
        <f aca="false">IF(AD46="FIJO",IF(AG46="","",AG46),IF(AF46&lt;&gt;"",AF46,IF(AG46="","",AG46)))</f>
        <v/>
      </c>
      <c r="AI46" s="52" t="str">
        <f aca="false">IF(OR(AH46="",AB46=""),"",IFERROR(AH46/(1+AB46),""))</f>
        <v/>
      </c>
      <c r="AJ46" s="50" t="str">
        <f aca="false">IF(OR(AI46="",AC46=""),"",IFERROR((AI46-AC46)/AI46,""))</f>
        <v/>
      </c>
      <c r="AK46" s="53" t="str">
        <f aca="false">IF(OR(AJ46="",AE46=""),"",AJ46-AE46)</f>
        <v/>
      </c>
      <c r="AL46" s="54" t="str">
        <f aca="false">IF(OR(AH46="",AF46=""),"",AH46-AF46)</f>
        <v/>
      </c>
      <c r="AM46" s="55" t="str">
        <f aca="false">IF(OR(A46="",K46&lt;&gt;"SI"),"",IF(AE46="","Sin objetivo",IF(AJ46="","Faltan datos",IF(AJ46&lt;0,"PÉRDIDA",IF(AK46&lt;-UMB_CRITICO,"MUY POR DEBAJO",IF(AK46&lt;-UMB_BAJO,"POR DEBAJO",IF(AK46&lt;-UMB_AJUSTADO,"AJUSTADO",IF(AK46&lt;=UMB_ALTO,"EN OBJETIVO","POR ENCIMA"))))))))</f>
        <v/>
      </c>
      <c r="AN46" s="44"/>
      <c r="AO46" s="44"/>
      <c r="AP46" s="46"/>
      <c r="AQ46" s="46"/>
      <c r="AR46" s="46"/>
      <c r="AS46" s="44"/>
      <c r="AT46" s="44"/>
      <c r="AU46" s="44"/>
      <c r="AV46" s="44"/>
      <c r="AW46" s="44"/>
      <c r="AX46" s="45"/>
      <c r="AY46" s="44"/>
      <c r="AZ46" s="56"/>
      <c r="BA46" s="45"/>
    </row>
    <row r="47" customFormat="false" ht="15" hidden="false" customHeight="false" outlineLevel="0" collapsed="false">
      <c r="A47" s="44"/>
      <c r="B47" s="44"/>
      <c r="C47" s="45"/>
      <c r="D47" s="45"/>
      <c r="E47" s="44"/>
      <c r="F47" s="44"/>
      <c r="G47" s="44"/>
      <c r="H47" s="44"/>
      <c r="I47" s="44"/>
      <c r="J47" s="44"/>
      <c r="K47" s="44"/>
      <c r="L47" s="44"/>
      <c r="M47" s="44"/>
      <c r="N47" s="44"/>
      <c r="O47" s="46"/>
      <c r="P47" s="44"/>
      <c r="Q47" s="46"/>
      <c r="R47" s="44"/>
      <c r="S47" s="45"/>
      <c r="T47" s="44"/>
      <c r="U47" s="44"/>
      <c r="V47" s="47"/>
      <c r="W47" s="48" t="str">
        <f aca="false">IF(V47="","",IFERROR(V47/O47,""))</f>
        <v/>
      </c>
      <c r="X47" s="44"/>
      <c r="Y47" s="46"/>
      <c r="Z47" s="49"/>
      <c r="AA47" s="44"/>
      <c r="AB47" s="50" t="str">
        <f aca="false">IFERROR(INDEX(TABLA_IVA!$C$3:$C$6,MATCH(AA47,TABLA_IVA!$A$3:$A$6,0)),"")</f>
        <v/>
      </c>
      <c r="AC47" s="47"/>
      <c r="AD47" s="44"/>
      <c r="AE47" s="51"/>
      <c r="AF47" s="52" t="str">
        <f aca="false">IF(OR(AC47="",AE47="",AB47=""),"",IFERROR(AC47/(1-AE47)*(1+AB47),""))</f>
        <v/>
      </c>
      <c r="AG47" s="47"/>
      <c r="AH47" s="52" t="str">
        <f aca="false">IF(AD47="FIJO",IF(AG47="","",AG47),IF(AF47&lt;&gt;"",AF47,IF(AG47="","",AG47)))</f>
        <v/>
      </c>
      <c r="AI47" s="52" t="str">
        <f aca="false">IF(OR(AH47="",AB47=""),"",IFERROR(AH47/(1+AB47),""))</f>
        <v/>
      </c>
      <c r="AJ47" s="50" t="str">
        <f aca="false">IF(OR(AI47="",AC47=""),"",IFERROR((AI47-AC47)/AI47,""))</f>
        <v/>
      </c>
      <c r="AK47" s="53" t="str">
        <f aca="false">IF(OR(AJ47="",AE47=""),"",AJ47-AE47)</f>
        <v/>
      </c>
      <c r="AL47" s="54" t="str">
        <f aca="false">IF(OR(AH47="",AF47=""),"",AH47-AF47)</f>
        <v/>
      </c>
      <c r="AM47" s="55" t="str">
        <f aca="false">IF(OR(A47="",K47&lt;&gt;"SI"),"",IF(AE47="","Sin objetivo",IF(AJ47="","Faltan datos",IF(AJ47&lt;0,"PÉRDIDA",IF(AK47&lt;-UMB_CRITICO,"MUY POR DEBAJO",IF(AK47&lt;-UMB_BAJO,"POR DEBAJO",IF(AK47&lt;-UMB_AJUSTADO,"AJUSTADO",IF(AK47&lt;=UMB_ALTO,"EN OBJETIVO","POR ENCIMA"))))))))</f>
        <v/>
      </c>
      <c r="AN47" s="44"/>
      <c r="AO47" s="44"/>
      <c r="AP47" s="46"/>
      <c r="AQ47" s="46"/>
      <c r="AR47" s="46"/>
      <c r="AS47" s="44"/>
      <c r="AT47" s="44"/>
      <c r="AU47" s="44"/>
      <c r="AV47" s="44"/>
      <c r="AW47" s="44"/>
      <c r="AX47" s="45"/>
      <c r="AY47" s="44"/>
      <c r="AZ47" s="56"/>
      <c r="BA47" s="45"/>
    </row>
    <row r="48" customFormat="false" ht="15" hidden="false" customHeight="false" outlineLevel="0" collapsed="false">
      <c r="A48" s="44"/>
      <c r="B48" s="44"/>
      <c r="C48" s="45"/>
      <c r="D48" s="45"/>
      <c r="E48" s="44"/>
      <c r="F48" s="44"/>
      <c r="G48" s="44"/>
      <c r="H48" s="44"/>
      <c r="I48" s="44"/>
      <c r="J48" s="44"/>
      <c r="K48" s="44"/>
      <c r="L48" s="44"/>
      <c r="M48" s="44"/>
      <c r="N48" s="44"/>
      <c r="O48" s="46"/>
      <c r="P48" s="44"/>
      <c r="Q48" s="46"/>
      <c r="R48" s="44"/>
      <c r="S48" s="45"/>
      <c r="T48" s="44"/>
      <c r="U48" s="44"/>
      <c r="V48" s="47"/>
      <c r="W48" s="48" t="str">
        <f aca="false">IF(V48="","",IFERROR(V48/O48,""))</f>
        <v/>
      </c>
      <c r="X48" s="44"/>
      <c r="Y48" s="46"/>
      <c r="Z48" s="49"/>
      <c r="AA48" s="44"/>
      <c r="AB48" s="50" t="str">
        <f aca="false">IFERROR(INDEX(TABLA_IVA!$C$3:$C$6,MATCH(AA48,TABLA_IVA!$A$3:$A$6,0)),"")</f>
        <v/>
      </c>
      <c r="AC48" s="47"/>
      <c r="AD48" s="44"/>
      <c r="AE48" s="51"/>
      <c r="AF48" s="52" t="str">
        <f aca="false">IF(OR(AC48="",AE48="",AB48=""),"",IFERROR(AC48/(1-AE48)*(1+AB48),""))</f>
        <v/>
      </c>
      <c r="AG48" s="47"/>
      <c r="AH48" s="52" t="str">
        <f aca="false">IF(AD48="FIJO",IF(AG48="","",AG48),IF(AF48&lt;&gt;"",AF48,IF(AG48="","",AG48)))</f>
        <v/>
      </c>
      <c r="AI48" s="52" t="str">
        <f aca="false">IF(OR(AH48="",AB48=""),"",IFERROR(AH48/(1+AB48),""))</f>
        <v/>
      </c>
      <c r="AJ48" s="50" t="str">
        <f aca="false">IF(OR(AI48="",AC48=""),"",IFERROR((AI48-AC48)/AI48,""))</f>
        <v/>
      </c>
      <c r="AK48" s="53" t="str">
        <f aca="false">IF(OR(AJ48="",AE48=""),"",AJ48-AE48)</f>
        <v/>
      </c>
      <c r="AL48" s="54" t="str">
        <f aca="false">IF(OR(AH48="",AF48=""),"",AH48-AF48)</f>
        <v/>
      </c>
      <c r="AM48" s="55" t="str">
        <f aca="false">IF(OR(A48="",K48&lt;&gt;"SI"),"",IF(AE48="","Sin objetivo",IF(AJ48="","Faltan datos",IF(AJ48&lt;0,"PÉRDIDA",IF(AK48&lt;-UMB_CRITICO,"MUY POR DEBAJO",IF(AK48&lt;-UMB_BAJO,"POR DEBAJO",IF(AK48&lt;-UMB_AJUSTADO,"AJUSTADO",IF(AK48&lt;=UMB_ALTO,"EN OBJETIVO","POR ENCIMA"))))))))</f>
        <v/>
      </c>
      <c r="AN48" s="44"/>
      <c r="AO48" s="44"/>
      <c r="AP48" s="46"/>
      <c r="AQ48" s="46"/>
      <c r="AR48" s="46"/>
      <c r="AS48" s="44"/>
      <c r="AT48" s="44"/>
      <c r="AU48" s="44"/>
      <c r="AV48" s="44"/>
      <c r="AW48" s="44"/>
      <c r="AX48" s="45"/>
      <c r="AY48" s="44"/>
      <c r="AZ48" s="56"/>
      <c r="BA48" s="45"/>
    </row>
    <row r="49" customFormat="false" ht="15" hidden="false" customHeight="false" outlineLevel="0" collapsed="false">
      <c r="A49" s="44"/>
      <c r="B49" s="44"/>
      <c r="C49" s="45"/>
      <c r="D49" s="45"/>
      <c r="E49" s="44"/>
      <c r="F49" s="44"/>
      <c r="G49" s="44"/>
      <c r="H49" s="44"/>
      <c r="I49" s="44"/>
      <c r="J49" s="44"/>
      <c r="K49" s="44"/>
      <c r="L49" s="44"/>
      <c r="M49" s="44"/>
      <c r="N49" s="44"/>
      <c r="O49" s="46"/>
      <c r="P49" s="44"/>
      <c r="Q49" s="46"/>
      <c r="R49" s="44"/>
      <c r="S49" s="45"/>
      <c r="T49" s="44"/>
      <c r="U49" s="44"/>
      <c r="V49" s="47"/>
      <c r="W49" s="48" t="str">
        <f aca="false">IF(V49="","",IFERROR(V49/O49,""))</f>
        <v/>
      </c>
      <c r="X49" s="44"/>
      <c r="Y49" s="46"/>
      <c r="Z49" s="49"/>
      <c r="AA49" s="44"/>
      <c r="AB49" s="50" t="str">
        <f aca="false">IFERROR(INDEX(TABLA_IVA!$C$3:$C$6,MATCH(AA49,TABLA_IVA!$A$3:$A$6,0)),"")</f>
        <v/>
      </c>
      <c r="AC49" s="47"/>
      <c r="AD49" s="44"/>
      <c r="AE49" s="51"/>
      <c r="AF49" s="52" t="str">
        <f aca="false">IF(OR(AC49="",AE49="",AB49=""),"",IFERROR(AC49/(1-AE49)*(1+AB49),""))</f>
        <v/>
      </c>
      <c r="AG49" s="47"/>
      <c r="AH49" s="52" t="str">
        <f aca="false">IF(AD49="FIJO",IF(AG49="","",AG49),IF(AF49&lt;&gt;"",AF49,IF(AG49="","",AG49)))</f>
        <v/>
      </c>
      <c r="AI49" s="52" t="str">
        <f aca="false">IF(OR(AH49="",AB49=""),"",IFERROR(AH49/(1+AB49),""))</f>
        <v/>
      </c>
      <c r="AJ49" s="50" t="str">
        <f aca="false">IF(OR(AI49="",AC49=""),"",IFERROR((AI49-AC49)/AI49,""))</f>
        <v/>
      </c>
      <c r="AK49" s="53" t="str">
        <f aca="false">IF(OR(AJ49="",AE49=""),"",AJ49-AE49)</f>
        <v/>
      </c>
      <c r="AL49" s="54" t="str">
        <f aca="false">IF(OR(AH49="",AF49=""),"",AH49-AF49)</f>
        <v/>
      </c>
      <c r="AM49" s="55" t="str">
        <f aca="false">IF(OR(A49="",K49&lt;&gt;"SI"),"",IF(AE49="","Sin objetivo",IF(AJ49="","Faltan datos",IF(AJ49&lt;0,"PÉRDIDA",IF(AK49&lt;-UMB_CRITICO,"MUY POR DEBAJO",IF(AK49&lt;-UMB_BAJO,"POR DEBAJO",IF(AK49&lt;-UMB_AJUSTADO,"AJUSTADO",IF(AK49&lt;=UMB_ALTO,"EN OBJETIVO","POR ENCIMA"))))))))</f>
        <v/>
      </c>
      <c r="AN49" s="44"/>
      <c r="AO49" s="44"/>
      <c r="AP49" s="46"/>
      <c r="AQ49" s="46"/>
      <c r="AR49" s="46"/>
      <c r="AS49" s="44"/>
      <c r="AT49" s="44"/>
      <c r="AU49" s="44"/>
      <c r="AV49" s="44"/>
      <c r="AW49" s="44"/>
      <c r="AX49" s="45"/>
      <c r="AY49" s="44"/>
      <c r="AZ49" s="56"/>
      <c r="BA49" s="45"/>
    </row>
    <row r="50" customFormat="false" ht="15" hidden="false" customHeight="false" outlineLevel="0" collapsed="false">
      <c r="A50" s="44"/>
      <c r="B50" s="44"/>
      <c r="C50" s="45"/>
      <c r="D50" s="45"/>
      <c r="E50" s="44"/>
      <c r="F50" s="44"/>
      <c r="G50" s="44"/>
      <c r="H50" s="44"/>
      <c r="I50" s="44"/>
      <c r="J50" s="44"/>
      <c r="K50" s="44"/>
      <c r="L50" s="44"/>
      <c r="M50" s="44"/>
      <c r="N50" s="44"/>
      <c r="O50" s="46"/>
      <c r="P50" s="44"/>
      <c r="Q50" s="46"/>
      <c r="R50" s="44"/>
      <c r="S50" s="45"/>
      <c r="T50" s="44"/>
      <c r="U50" s="44"/>
      <c r="V50" s="47"/>
      <c r="W50" s="48" t="str">
        <f aca="false">IF(V50="","",IFERROR(V50/O50,""))</f>
        <v/>
      </c>
      <c r="X50" s="44"/>
      <c r="Y50" s="46"/>
      <c r="Z50" s="49"/>
      <c r="AA50" s="44"/>
      <c r="AB50" s="50" t="str">
        <f aca="false">IFERROR(INDEX(TABLA_IVA!$C$3:$C$6,MATCH(AA50,TABLA_IVA!$A$3:$A$6,0)),"")</f>
        <v/>
      </c>
      <c r="AC50" s="47"/>
      <c r="AD50" s="44"/>
      <c r="AE50" s="51"/>
      <c r="AF50" s="52" t="str">
        <f aca="false">IF(OR(AC50="",AE50="",AB50=""),"",IFERROR(AC50/(1-AE50)*(1+AB50),""))</f>
        <v/>
      </c>
      <c r="AG50" s="47"/>
      <c r="AH50" s="52" t="str">
        <f aca="false">IF(AD50="FIJO",IF(AG50="","",AG50),IF(AF50&lt;&gt;"",AF50,IF(AG50="","",AG50)))</f>
        <v/>
      </c>
      <c r="AI50" s="52" t="str">
        <f aca="false">IF(OR(AH50="",AB50=""),"",IFERROR(AH50/(1+AB50),""))</f>
        <v/>
      </c>
      <c r="AJ50" s="50" t="str">
        <f aca="false">IF(OR(AI50="",AC50=""),"",IFERROR((AI50-AC50)/AI50,""))</f>
        <v/>
      </c>
      <c r="AK50" s="53" t="str">
        <f aca="false">IF(OR(AJ50="",AE50=""),"",AJ50-AE50)</f>
        <v/>
      </c>
      <c r="AL50" s="54" t="str">
        <f aca="false">IF(OR(AH50="",AF50=""),"",AH50-AF50)</f>
        <v/>
      </c>
      <c r="AM50" s="55" t="str">
        <f aca="false">IF(OR(A50="",K50&lt;&gt;"SI"),"",IF(AE50="","Sin objetivo",IF(AJ50="","Faltan datos",IF(AJ50&lt;0,"PÉRDIDA",IF(AK50&lt;-UMB_CRITICO,"MUY POR DEBAJO",IF(AK50&lt;-UMB_BAJO,"POR DEBAJO",IF(AK50&lt;-UMB_AJUSTADO,"AJUSTADO",IF(AK50&lt;=UMB_ALTO,"EN OBJETIVO","POR ENCIMA"))))))))</f>
        <v/>
      </c>
      <c r="AN50" s="44"/>
      <c r="AO50" s="44"/>
      <c r="AP50" s="46"/>
      <c r="AQ50" s="46"/>
      <c r="AR50" s="46"/>
      <c r="AS50" s="44"/>
      <c r="AT50" s="44"/>
      <c r="AU50" s="44"/>
      <c r="AV50" s="44"/>
      <c r="AW50" s="44"/>
      <c r="AX50" s="45"/>
      <c r="AY50" s="44"/>
      <c r="AZ50" s="56"/>
      <c r="BA50" s="45"/>
    </row>
    <row r="51" customFormat="false" ht="15" hidden="false" customHeight="false" outlineLevel="0" collapsed="false">
      <c r="A51" s="44"/>
      <c r="B51" s="44"/>
      <c r="C51" s="45"/>
      <c r="D51" s="45"/>
      <c r="E51" s="44"/>
      <c r="F51" s="44"/>
      <c r="G51" s="44"/>
      <c r="H51" s="44"/>
      <c r="I51" s="44"/>
      <c r="J51" s="44"/>
      <c r="K51" s="44"/>
      <c r="L51" s="44"/>
      <c r="M51" s="44"/>
      <c r="N51" s="44"/>
      <c r="O51" s="46"/>
      <c r="P51" s="44"/>
      <c r="Q51" s="46"/>
      <c r="R51" s="44"/>
      <c r="S51" s="45"/>
      <c r="T51" s="44"/>
      <c r="U51" s="44"/>
      <c r="V51" s="47"/>
      <c r="W51" s="48" t="str">
        <f aca="false">IF(V51="","",IFERROR(V51/O51,""))</f>
        <v/>
      </c>
      <c r="X51" s="44"/>
      <c r="Y51" s="46"/>
      <c r="Z51" s="49"/>
      <c r="AA51" s="44"/>
      <c r="AB51" s="50" t="str">
        <f aca="false">IFERROR(INDEX(TABLA_IVA!$C$3:$C$6,MATCH(AA51,TABLA_IVA!$A$3:$A$6,0)),"")</f>
        <v/>
      </c>
      <c r="AC51" s="47"/>
      <c r="AD51" s="44"/>
      <c r="AE51" s="51"/>
      <c r="AF51" s="52" t="str">
        <f aca="false">IF(OR(AC51="",AE51="",AB51=""),"",IFERROR(AC51/(1-AE51)*(1+AB51),""))</f>
        <v/>
      </c>
      <c r="AG51" s="47"/>
      <c r="AH51" s="52" t="str">
        <f aca="false">IF(AD51="FIJO",IF(AG51="","",AG51),IF(AF51&lt;&gt;"",AF51,IF(AG51="","",AG51)))</f>
        <v/>
      </c>
      <c r="AI51" s="52" t="str">
        <f aca="false">IF(OR(AH51="",AB51=""),"",IFERROR(AH51/(1+AB51),""))</f>
        <v/>
      </c>
      <c r="AJ51" s="50" t="str">
        <f aca="false">IF(OR(AI51="",AC51=""),"",IFERROR((AI51-AC51)/AI51,""))</f>
        <v/>
      </c>
      <c r="AK51" s="53" t="str">
        <f aca="false">IF(OR(AJ51="",AE51=""),"",AJ51-AE51)</f>
        <v/>
      </c>
      <c r="AL51" s="54" t="str">
        <f aca="false">IF(OR(AH51="",AF51=""),"",AH51-AF51)</f>
        <v/>
      </c>
      <c r="AM51" s="55" t="str">
        <f aca="false">IF(OR(A51="",K51&lt;&gt;"SI"),"",IF(AE51="","Sin objetivo",IF(AJ51="","Faltan datos",IF(AJ51&lt;0,"PÉRDIDA",IF(AK51&lt;-UMB_CRITICO,"MUY POR DEBAJO",IF(AK51&lt;-UMB_BAJO,"POR DEBAJO",IF(AK51&lt;-UMB_AJUSTADO,"AJUSTADO",IF(AK51&lt;=UMB_ALTO,"EN OBJETIVO","POR ENCIMA"))))))))</f>
        <v/>
      </c>
      <c r="AN51" s="44"/>
      <c r="AO51" s="44"/>
      <c r="AP51" s="46"/>
      <c r="AQ51" s="46"/>
      <c r="AR51" s="46"/>
      <c r="AS51" s="44"/>
      <c r="AT51" s="44"/>
      <c r="AU51" s="44"/>
      <c r="AV51" s="44"/>
      <c r="AW51" s="44"/>
      <c r="AX51" s="45"/>
      <c r="AY51" s="44"/>
      <c r="AZ51" s="56"/>
      <c r="BA51" s="45"/>
    </row>
    <row r="52" customFormat="false" ht="15" hidden="false" customHeight="false" outlineLevel="0" collapsed="false">
      <c r="A52" s="44"/>
      <c r="B52" s="44"/>
      <c r="C52" s="45"/>
      <c r="D52" s="45"/>
      <c r="E52" s="44"/>
      <c r="F52" s="44"/>
      <c r="G52" s="44"/>
      <c r="H52" s="44"/>
      <c r="I52" s="44"/>
      <c r="J52" s="44"/>
      <c r="K52" s="44"/>
      <c r="L52" s="44"/>
      <c r="M52" s="44"/>
      <c r="N52" s="44"/>
      <c r="O52" s="46"/>
      <c r="P52" s="44"/>
      <c r="Q52" s="46"/>
      <c r="R52" s="44"/>
      <c r="S52" s="45"/>
      <c r="T52" s="44"/>
      <c r="U52" s="44"/>
      <c r="V52" s="47"/>
      <c r="W52" s="48" t="str">
        <f aca="false">IF(V52="","",IFERROR(V52/O52,""))</f>
        <v/>
      </c>
      <c r="X52" s="44"/>
      <c r="Y52" s="46"/>
      <c r="Z52" s="49"/>
      <c r="AA52" s="44"/>
      <c r="AB52" s="50" t="str">
        <f aca="false">IFERROR(INDEX(TABLA_IVA!$C$3:$C$6,MATCH(AA52,TABLA_IVA!$A$3:$A$6,0)),"")</f>
        <v/>
      </c>
      <c r="AC52" s="47"/>
      <c r="AD52" s="44"/>
      <c r="AE52" s="51"/>
      <c r="AF52" s="52" t="str">
        <f aca="false">IF(OR(AC52="",AE52="",AB52=""),"",IFERROR(AC52/(1-AE52)*(1+AB52),""))</f>
        <v/>
      </c>
      <c r="AG52" s="47"/>
      <c r="AH52" s="52" t="str">
        <f aca="false">IF(AD52="FIJO",IF(AG52="","",AG52),IF(AF52&lt;&gt;"",AF52,IF(AG52="","",AG52)))</f>
        <v/>
      </c>
      <c r="AI52" s="52" t="str">
        <f aca="false">IF(OR(AH52="",AB52=""),"",IFERROR(AH52/(1+AB52),""))</f>
        <v/>
      </c>
      <c r="AJ52" s="50" t="str">
        <f aca="false">IF(OR(AI52="",AC52=""),"",IFERROR((AI52-AC52)/AI52,""))</f>
        <v/>
      </c>
      <c r="AK52" s="53" t="str">
        <f aca="false">IF(OR(AJ52="",AE52=""),"",AJ52-AE52)</f>
        <v/>
      </c>
      <c r="AL52" s="54" t="str">
        <f aca="false">IF(OR(AH52="",AF52=""),"",AH52-AF52)</f>
        <v/>
      </c>
      <c r="AM52" s="55" t="str">
        <f aca="false">IF(OR(A52="",K52&lt;&gt;"SI"),"",IF(AE52="","Sin objetivo",IF(AJ52="","Faltan datos",IF(AJ52&lt;0,"PÉRDIDA",IF(AK52&lt;-UMB_CRITICO,"MUY POR DEBAJO",IF(AK52&lt;-UMB_BAJO,"POR DEBAJO",IF(AK52&lt;-UMB_AJUSTADO,"AJUSTADO",IF(AK52&lt;=UMB_ALTO,"EN OBJETIVO","POR ENCIMA"))))))))</f>
        <v/>
      </c>
      <c r="AN52" s="44"/>
      <c r="AO52" s="44"/>
      <c r="AP52" s="46"/>
      <c r="AQ52" s="46"/>
      <c r="AR52" s="46"/>
      <c r="AS52" s="44"/>
      <c r="AT52" s="44"/>
      <c r="AU52" s="44"/>
      <c r="AV52" s="44"/>
      <c r="AW52" s="44"/>
      <c r="AX52" s="45"/>
      <c r="AY52" s="44"/>
      <c r="AZ52" s="56"/>
      <c r="BA52" s="45"/>
    </row>
    <row r="53" customFormat="false" ht="15" hidden="false" customHeight="false" outlineLevel="0" collapsed="false">
      <c r="A53" s="44"/>
      <c r="B53" s="44"/>
      <c r="C53" s="45"/>
      <c r="D53" s="45"/>
      <c r="E53" s="44"/>
      <c r="F53" s="44"/>
      <c r="G53" s="44"/>
      <c r="H53" s="44"/>
      <c r="I53" s="44"/>
      <c r="J53" s="44"/>
      <c r="K53" s="44"/>
      <c r="L53" s="44"/>
      <c r="M53" s="44"/>
      <c r="N53" s="44"/>
      <c r="O53" s="46"/>
      <c r="P53" s="44"/>
      <c r="Q53" s="46"/>
      <c r="R53" s="44"/>
      <c r="S53" s="45"/>
      <c r="T53" s="44"/>
      <c r="U53" s="44"/>
      <c r="V53" s="47"/>
      <c r="W53" s="48" t="str">
        <f aca="false">IF(V53="","",IFERROR(V53/O53,""))</f>
        <v/>
      </c>
      <c r="X53" s="44"/>
      <c r="Y53" s="46"/>
      <c r="Z53" s="49"/>
      <c r="AA53" s="44"/>
      <c r="AB53" s="50" t="str">
        <f aca="false">IFERROR(INDEX(TABLA_IVA!$C$3:$C$6,MATCH(AA53,TABLA_IVA!$A$3:$A$6,0)),"")</f>
        <v/>
      </c>
      <c r="AC53" s="47"/>
      <c r="AD53" s="44"/>
      <c r="AE53" s="51"/>
      <c r="AF53" s="52" t="str">
        <f aca="false">IF(OR(AC53="",AE53="",AB53=""),"",IFERROR(AC53/(1-AE53)*(1+AB53),""))</f>
        <v/>
      </c>
      <c r="AG53" s="47"/>
      <c r="AH53" s="52" t="str">
        <f aca="false">IF(AD53="FIJO",IF(AG53="","",AG53),IF(AF53&lt;&gt;"",AF53,IF(AG53="","",AG53)))</f>
        <v/>
      </c>
      <c r="AI53" s="52" t="str">
        <f aca="false">IF(OR(AH53="",AB53=""),"",IFERROR(AH53/(1+AB53),""))</f>
        <v/>
      </c>
      <c r="AJ53" s="50" t="str">
        <f aca="false">IF(OR(AI53="",AC53=""),"",IFERROR((AI53-AC53)/AI53,""))</f>
        <v/>
      </c>
      <c r="AK53" s="53" t="str">
        <f aca="false">IF(OR(AJ53="",AE53=""),"",AJ53-AE53)</f>
        <v/>
      </c>
      <c r="AL53" s="54" t="str">
        <f aca="false">IF(OR(AH53="",AF53=""),"",AH53-AF53)</f>
        <v/>
      </c>
      <c r="AM53" s="55" t="str">
        <f aca="false">IF(OR(A53="",K53&lt;&gt;"SI"),"",IF(AE53="","Sin objetivo",IF(AJ53="","Faltan datos",IF(AJ53&lt;0,"PÉRDIDA",IF(AK53&lt;-UMB_CRITICO,"MUY POR DEBAJO",IF(AK53&lt;-UMB_BAJO,"POR DEBAJO",IF(AK53&lt;-UMB_AJUSTADO,"AJUSTADO",IF(AK53&lt;=UMB_ALTO,"EN OBJETIVO","POR ENCIMA"))))))))</f>
        <v/>
      </c>
      <c r="AN53" s="44"/>
      <c r="AO53" s="44"/>
      <c r="AP53" s="46"/>
      <c r="AQ53" s="46"/>
      <c r="AR53" s="46"/>
      <c r="AS53" s="44"/>
      <c r="AT53" s="44"/>
      <c r="AU53" s="44"/>
      <c r="AV53" s="44"/>
      <c r="AW53" s="44"/>
      <c r="AX53" s="45"/>
      <c r="AY53" s="44"/>
      <c r="AZ53" s="56"/>
      <c r="BA53" s="45"/>
    </row>
    <row r="54" customFormat="false" ht="15" hidden="false" customHeight="false" outlineLevel="0" collapsed="false">
      <c r="A54" s="44"/>
      <c r="B54" s="44"/>
      <c r="C54" s="45"/>
      <c r="D54" s="45"/>
      <c r="E54" s="44"/>
      <c r="F54" s="44"/>
      <c r="G54" s="44"/>
      <c r="H54" s="44"/>
      <c r="I54" s="44"/>
      <c r="J54" s="44"/>
      <c r="K54" s="44"/>
      <c r="L54" s="44"/>
      <c r="M54" s="44"/>
      <c r="N54" s="44"/>
      <c r="O54" s="46"/>
      <c r="P54" s="44"/>
      <c r="Q54" s="46"/>
      <c r="R54" s="44"/>
      <c r="S54" s="45"/>
      <c r="T54" s="44"/>
      <c r="U54" s="44"/>
      <c r="V54" s="47"/>
      <c r="W54" s="48" t="str">
        <f aca="false">IF(V54="","",IFERROR(V54/O54,""))</f>
        <v/>
      </c>
      <c r="X54" s="44"/>
      <c r="Y54" s="46"/>
      <c r="Z54" s="49"/>
      <c r="AA54" s="44"/>
      <c r="AB54" s="50" t="str">
        <f aca="false">IFERROR(INDEX(TABLA_IVA!$C$3:$C$6,MATCH(AA54,TABLA_IVA!$A$3:$A$6,0)),"")</f>
        <v/>
      </c>
      <c r="AC54" s="47"/>
      <c r="AD54" s="44"/>
      <c r="AE54" s="51"/>
      <c r="AF54" s="52" t="str">
        <f aca="false">IF(OR(AC54="",AE54="",AB54=""),"",IFERROR(AC54/(1-AE54)*(1+AB54),""))</f>
        <v/>
      </c>
      <c r="AG54" s="47"/>
      <c r="AH54" s="52" t="str">
        <f aca="false">IF(AD54="FIJO",IF(AG54="","",AG54),IF(AF54&lt;&gt;"",AF54,IF(AG54="","",AG54)))</f>
        <v/>
      </c>
      <c r="AI54" s="52" t="str">
        <f aca="false">IF(OR(AH54="",AB54=""),"",IFERROR(AH54/(1+AB54),""))</f>
        <v/>
      </c>
      <c r="AJ54" s="50" t="str">
        <f aca="false">IF(OR(AI54="",AC54=""),"",IFERROR((AI54-AC54)/AI54,""))</f>
        <v/>
      </c>
      <c r="AK54" s="53" t="str">
        <f aca="false">IF(OR(AJ54="",AE54=""),"",AJ54-AE54)</f>
        <v/>
      </c>
      <c r="AL54" s="54" t="str">
        <f aca="false">IF(OR(AH54="",AF54=""),"",AH54-AF54)</f>
        <v/>
      </c>
      <c r="AM54" s="55" t="str">
        <f aca="false">IF(OR(A54="",K54&lt;&gt;"SI"),"",IF(AE54="","Sin objetivo",IF(AJ54="","Faltan datos",IF(AJ54&lt;0,"PÉRDIDA",IF(AK54&lt;-UMB_CRITICO,"MUY POR DEBAJO",IF(AK54&lt;-UMB_BAJO,"POR DEBAJO",IF(AK54&lt;-UMB_AJUSTADO,"AJUSTADO",IF(AK54&lt;=UMB_ALTO,"EN OBJETIVO","POR ENCIMA"))))))))</f>
        <v/>
      </c>
      <c r="AN54" s="44"/>
      <c r="AO54" s="44"/>
      <c r="AP54" s="46"/>
      <c r="AQ54" s="46"/>
      <c r="AR54" s="46"/>
      <c r="AS54" s="44"/>
      <c r="AT54" s="44"/>
      <c r="AU54" s="44"/>
      <c r="AV54" s="44"/>
      <c r="AW54" s="44"/>
      <c r="AX54" s="45"/>
      <c r="AY54" s="44"/>
      <c r="AZ54" s="56"/>
      <c r="BA54" s="45"/>
    </row>
    <row r="55" customFormat="false" ht="15" hidden="false" customHeight="false" outlineLevel="0" collapsed="false">
      <c r="A55" s="44"/>
      <c r="B55" s="44"/>
      <c r="C55" s="45"/>
      <c r="D55" s="45"/>
      <c r="E55" s="44"/>
      <c r="F55" s="44"/>
      <c r="G55" s="44"/>
      <c r="H55" s="44"/>
      <c r="I55" s="44"/>
      <c r="J55" s="44"/>
      <c r="K55" s="44"/>
      <c r="L55" s="44"/>
      <c r="M55" s="44"/>
      <c r="N55" s="44"/>
      <c r="O55" s="46"/>
      <c r="P55" s="44"/>
      <c r="Q55" s="46"/>
      <c r="R55" s="44"/>
      <c r="S55" s="45"/>
      <c r="T55" s="44"/>
      <c r="U55" s="44"/>
      <c r="V55" s="47"/>
      <c r="W55" s="48" t="str">
        <f aca="false">IF(V55="","",IFERROR(V55/O55,""))</f>
        <v/>
      </c>
      <c r="X55" s="44"/>
      <c r="Y55" s="46"/>
      <c r="Z55" s="49"/>
      <c r="AA55" s="44"/>
      <c r="AB55" s="50" t="str">
        <f aca="false">IFERROR(INDEX(TABLA_IVA!$C$3:$C$6,MATCH(AA55,TABLA_IVA!$A$3:$A$6,0)),"")</f>
        <v/>
      </c>
      <c r="AC55" s="47"/>
      <c r="AD55" s="44"/>
      <c r="AE55" s="51"/>
      <c r="AF55" s="52" t="str">
        <f aca="false">IF(OR(AC55="",AE55="",AB55=""),"",IFERROR(AC55/(1-AE55)*(1+AB55),""))</f>
        <v/>
      </c>
      <c r="AG55" s="47"/>
      <c r="AH55" s="52" t="str">
        <f aca="false">IF(AD55="FIJO",IF(AG55="","",AG55),IF(AF55&lt;&gt;"",AF55,IF(AG55="","",AG55)))</f>
        <v/>
      </c>
      <c r="AI55" s="52" t="str">
        <f aca="false">IF(OR(AH55="",AB55=""),"",IFERROR(AH55/(1+AB55),""))</f>
        <v/>
      </c>
      <c r="AJ55" s="50" t="str">
        <f aca="false">IF(OR(AI55="",AC55=""),"",IFERROR((AI55-AC55)/AI55,""))</f>
        <v/>
      </c>
      <c r="AK55" s="53" t="str">
        <f aca="false">IF(OR(AJ55="",AE55=""),"",AJ55-AE55)</f>
        <v/>
      </c>
      <c r="AL55" s="54" t="str">
        <f aca="false">IF(OR(AH55="",AF55=""),"",AH55-AF55)</f>
        <v/>
      </c>
      <c r="AM55" s="55" t="str">
        <f aca="false">IF(OR(A55="",K55&lt;&gt;"SI"),"",IF(AE55="","Sin objetivo",IF(AJ55="","Faltan datos",IF(AJ55&lt;0,"PÉRDIDA",IF(AK55&lt;-UMB_CRITICO,"MUY POR DEBAJO",IF(AK55&lt;-UMB_BAJO,"POR DEBAJO",IF(AK55&lt;-UMB_AJUSTADO,"AJUSTADO",IF(AK55&lt;=UMB_ALTO,"EN OBJETIVO","POR ENCIMA"))))))))</f>
        <v/>
      </c>
      <c r="AN55" s="44"/>
      <c r="AO55" s="44"/>
      <c r="AP55" s="46"/>
      <c r="AQ55" s="46"/>
      <c r="AR55" s="46"/>
      <c r="AS55" s="44"/>
      <c r="AT55" s="44"/>
      <c r="AU55" s="44"/>
      <c r="AV55" s="44"/>
      <c r="AW55" s="44"/>
      <c r="AX55" s="45"/>
      <c r="AY55" s="44"/>
      <c r="AZ55" s="56"/>
      <c r="BA55" s="45"/>
    </row>
    <row r="56" customFormat="false" ht="15" hidden="false" customHeight="false" outlineLevel="0" collapsed="false">
      <c r="A56" s="44"/>
      <c r="B56" s="44"/>
      <c r="C56" s="45"/>
      <c r="D56" s="45"/>
      <c r="E56" s="44"/>
      <c r="F56" s="44"/>
      <c r="G56" s="44"/>
      <c r="H56" s="44"/>
      <c r="I56" s="44"/>
      <c r="J56" s="44"/>
      <c r="K56" s="44"/>
      <c r="L56" s="44"/>
      <c r="M56" s="44"/>
      <c r="N56" s="44"/>
      <c r="O56" s="46"/>
      <c r="P56" s="44"/>
      <c r="Q56" s="46"/>
      <c r="R56" s="44"/>
      <c r="S56" s="45"/>
      <c r="T56" s="44"/>
      <c r="U56" s="44"/>
      <c r="V56" s="47"/>
      <c r="W56" s="48" t="str">
        <f aca="false">IF(V56="","",IFERROR(V56/O56,""))</f>
        <v/>
      </c>
      <c r="X56" s="44"/>
      <c r="Y56" s="46"/>
      <c r="Z56" s="49"/>
      <c r="AA56" s="44"/>
      <c r="AB56" s="50" t="str">
        <f aca="false">IFERROR(INDEX(TABLA_IVA!$C$3:$C$6,MATCH(AA56,TABLA_IVA!$A$3:$A$6,0)),"")</f>
        <v/>
      </c>
      <c r="AC56" s="47"/>
      <c r="AD56" s="44"/>
      <c r="AE56" s="51"/>
      <c r="AF56" s="52" t="str">
        <f aca="false">IF(OR(AC56="",AE56="",AB56=""),"",IFERROR(AC56/(1-AE56)*(1+AB56),""))</f>
        <v/>
      </c>
      <c r="AG56" s="47"/>
      <c r="AH56" s="52" t="str">
        <f aca="false">IF(AD56="FIJO",IF(AG56="","",AG56),IF(AF56&lt;&gt;"",AF56,IF(AG56="","",AG56)))</f>
        <v/>
      </c>
      <c r="AI56" s="52" t="str">
        <f aca="false">IF(OR(AH56="",AB56=""),"",IFERROR(AH56/(1+AB56),""))</f>
        <v/>
      </c>
      <c r="AJ56" s="50" t="str">
        <f aca="false">IF(OR(AI56="",AC56=""),"",IFERROR((AI56-AC56)/AI56,""))</f>
        <v/>
      </c>
      <c r="AK56" s="53" t="str">
        <f aca="false">IF(OR(AJ56="",AE56=""),"",AJ56-AE56)</f>
        <v/>
      </c>
      <c r="AL56" s="54" t="str">
        <f aca="false">IF(OR(AH56="",AF56=""),"",AH56-AF56)</f>
        <v/>
      </c>
      <c r="AM56" s="55" t="str">
        <f aca="false">IF(OR(A56="",K56&lt;&gt;"SI"),"",IF(AE56="","Sin objetivo",IF(AJ56="","Faltan datos",IF(AJ56&lt;0,"PÉRDIDA",IF(AK56&lt;-UMB_CRITICO,"MUY POR DEBAJO",IF(AK56&lt;-UMB_BAJO,"POR DEBAJO",IF(AK56&lt;-UMB_AJUSTADO,"AJUSTADO",IF(AK56&lt;=UMB_ALTO,"EN OBJETIVO","POR ENCIMA"))))))))</f>
        <v/>
      </c>
      <c r="AN56" s="44"/>
      <c r="AO56" s="44"/>
      <c r="AP56" s="46"/>
      <c r="AQ56" s="46"/>
      <c r="AR56" s="46"/>
      <c r="AS56" s="44"/>
      <c r="AT56" s="44"/>
      <c r="AU56" s="44"/>
      <c r="AV56" s="44"/>
      <c r="AW56" s="44"/>
      <c r="AX56" s="45"/>
      <c r="AY56" s="44"/>
      <c r="AZ56" s="56"/>
      <c r="BA56" s="45"/>
    </row>
    <row r="57" customFormat="false" ht="15" hidden="false" customHeight="false" outlineLevel="0" collapsed="false">
      <c r="A57" s="44"/>
      <c r="B57" s="44"/>
      <c r="C57" s="45"/>
      <c r="D57" s="45"/>
      <c r="E57" s="44"/>
      <c r="F57" s="44"/>
      <c r="G57" s="44"/>
      <c r="H57" s="44"/>
      <c r="I57" s="44"/>
      <c r="J57" s="44"/>
      <c r="K57" s="44"/>
      <c r="L57" s="44"/>
      <c r="M57" s="44"/>
      <c r="N57" s="44"/>
      <c r="O57" s="46"/>
      <c r="P57" s="44"/>
      <c r="Q57" s="46"/>
      <c r="R57" s="44"/>
      <c r="S57" s="45"/>
      <c r="T57" s="44"/>
      <c r="U57" s="44"/>
      <c r="V57" s="47"/>
      <c r="W57" s="48" t="str">
        <f aca="false">IF(V57="","",IFERROR(V57/O57,""))</f>
        <v/>
      </c>
      <c r="X57" s="44"/>
      <c r="Y57" s="46"/>
      <c r="Z57" s="49"/>
      <c r="AA57" s="44"/>
      <c r="AB57" s="50" t="str">
        <f aca="false">IFERROR(INDEX(TABLA_IVA!$C$3:$C$6,MATCH(AA57,TABLA_IVA!$A$3:$A$6,0)),"")</f>
        <v/>
      </c>
      <c r="AC57" s="47"/>
      <c r="AD57" s="44"/>
      <c r="AE57" s="51"/>
      <c r="AF57" s="52" t="str">
        <f aca="false">IF(OR(AC57="",AE57="",AB57=""),"",IFERROR(AC57/(1-AE57)*(1+AB57),""))</f>
        <v/>
      </c>
      <c r="AG57" s="47"/>
      <c r="AH57" s="52" t="str">
        <f aca="false">IF(AD57="FIJO",IF(AG57="","",AG57),IF(AF57&lt;&gt;"",AF57,IF(AG57="","",AG57)))</f>
        <v/>
      </c>
      <c r="AI57" s="52" t="str">
        <f aca="false">IF(OR(AH57="",AB57=""),"",IFERROR(AH57/(1+AB57),""))</f>
        <v/>
      </c>
      <c r="AJ57" s="50" t="str">
        <f aca="false">IF(OR(AI57="",AC57=""),"",IFERROR((AI57-AC57)/AI57,""))</f>
        <v/>
      </c>
      <c r="AK57" s="53" t="str">
        <f aca="false">IF(OR(AJ57="",AE57=""),"",AJ57-AE57)</f>
        <v/>
      </c>
      <c r="AL57" s="54" t="str">
        <f aca="false">IF(OR(AH57="",AF57=""),"",AH57-AF57)</f>
        <v/>
      </c>
      <c r="AM57" s="55" t="str">
        <f aca="false">IF(OR(A57="",K57&lt;&gt;"SI"),"",IF(AE57="","Sin objetivo",IF(AJ57="","Faltan datos",IF(AJ57&lt;0,"PÉRDIDA",IF(AK57&lt;-UMB_CRITICO,"MUY POR DEBAJO",IF(AK57&lt;-UMB_BAJO,"POR DEBAJO",IF(AK57&lt;-UMB_AJUSTADO,"AJUSTADO",IF(AK57&lt;=UMB_ALTO,"EN OBJETIVO","POR ENCIMA"))))))))</f>
        <v/>
      </c>
      <c r="AN57" s="44"/>
      <c r="AO57" s="44"/>
      <c r="AP57" s="46"/>
      <c r="AQ57" s="46"/>
      <c r="AR57" s="46"/>
      <c r="AS57" s="44"/>
      <c r="AT57" s="44"/>
      <c r="AU57" s="44"/>
      <c r="AV57" s="44"/>
      <c r="AW57" s="44"/>
      <c r="AX57" s="45"/>
      <c r="AY57" s="44"/>
      <c r="AZ57" s="56"/>
      <c r="BA57" s="45"/>
    </row>
    <row r="58" customFormat="false" ht="15" hidden="false" customHeight="false" outlineLevel="0" collapsed="false">
      <c r="A58" s="44"/>
      <c r="B58" s="44"/>
      <c r="C58" s="45"/>
      <c r="D58" s="45"/>
      <c r="E58" s="44"/>
      <c r="F58" s="44"/>
      <c r="G58" s="44"/>
      <c r="H58" s="44"/>
      <c r="I58" s="44"/>
      <c r="J58" s="44"/>
      <c r="K58" s="44"/>
      <c r="L58" s="44"/>
      <c r="M58" s="44"/>
      <c r="N58" s="44"/>
      <c r="O58" s="46"/>
      <c r="P58" s="44"/>
      <c r="Q58" s="46"/>
      <c r="R58" s="44"/>
      <c r="S58" s="45"/>
      <c r="T58" s="44"/>
      <c r="U58" s="44"/>
      <c r="V58" s="47"/>
      <c r="W58" s="48" t="str">
        <f aca="false">IF(V58="","",IFERROR(V58/O58,""))</f>
        <v/>
      </c>
      <c r="X58" s="44"/>
      <c r="Y58" s="46"/>
      <c r="Z58" s="49"/>
      <c r="AA58" s="44"/>
      <c r="AB58" s="50" t="str">
        <f aca="false">IFERROR(INDEX(TABLA_IVA!$C$3:$C$6,MATCH(AA58,TABLA_IVA!$A$3:$A$6,0)),"")</f>
        <v/>
      </c>
      <c r="AC58" s="47"/>
      <c r="AD58" s="44"/>
      <c r="AE58" s="51"/>
      <c r="AF58" s="52" t="str">
        <f aca="false">IF(OR(AC58="",AE58="",AB58=""),"",IFERROR(AC58/(1-AE58)*(1+AB58),""))</f>
        <v/>
      </c>
      <c r="AG58" s="47"/>
      <c r="AH58" s="52" t="str">
        <f aca="false">IF(AD58="FIJO",IF(AG58="","",AG58),IF(AF58&lt;&gt;"",AF58,IF(AG58="","",AG58)))</f>
        <v/>
      </c>
      <c r="AI58" s="52" t="str">
        <f aca="false">IF(OR(AH58="",AB58=""),"",IFERROR(AH58/(1+AB58),""))</f>
        <v/>
      </c>
      <c r="AJ58" s="50" t="str">
        <f aca="false">IF(OR(AI58="",AC58=""),"",IFERROR((AI58-AC58)/AI58,""))</f>
        <v/>
      </c>
      <c r="AK58" s="53" t="str">
        <f aca="false">IF(OR(AJ58="",AE58=""),"",AJ58-AE58)</f>
        <v/>
      </c>
      <c r="AL58" s="54" t="str">
        <f aca="false">IF(OR(AH58="",AF58=""),"",AH58-AF58)</f>
        <v/>
      </c>
      <c r="AM58" s="55" t="str">
        <f aca="false">IF(OR(A58="",K58&lt;&gt;"SI"),"",IF(AE58="","Sin objetivo",IF(AJ58="","Faltan datos",IF(AJ58&lt;0,"PÉRDIDA",IF(AK58&lt;-UMB_CRITICO,"MUY POR DEBAJO",IF(AK58&lt;-UMB_BAJO,"POR DEBAJO",IF(AK58&lt;-UMB_AJUSTADO,"AJUSTADO",IF(AK58&lt;=UMB_ALTO,"EN OBJETIVO","POR ENCIMA"))))))))</f>
        <v/>
      </c>
      <c r="AN58" s="44"/>
      <c r="AO58" s="44"/>
      <c r="AP58" s="46"/>
      <c r="AQ58" s="46"/>
      <c r="AR58" s="46"/>
      <c r="AS58" s="44"/>
      <c r="AT58" s="44"/>
      <c r="AU58" s="44"/>
      <c r="AV58" s="44"/>
      <c r="AW58" s="44"/>
      <c r="AX58" s="45"/>
      <c r="AY58" s="44"/>
      <c r="AZ58" s="56"/>
      <c r="BA58" s="45"/>
    </row>
    <row r="59" customFormat="false" ht="15" hidden="false" customHeight="false" outlineLevel="0" collapsed="false">
      <c r="A59" s="44"/>
      <c r="B59" s="44"/>
      <c r="C59" s="45"/>
      <c r="D59" s="45"/>
      <c r="E59" s="44"/>
      <c r="F59" s="44"/>
      <c r="G59" s="44"/>
      <c r="H59" s="44"/>
      <c r="I59" s="44"/>
      <c r="J59" s="44"/>
      <c r="K59" s="44"/>
      <c r="L59" s="44"/>
      <c r="M59" s="44"/>
      <c r="N59" s="44"/>
      <c r="O59" s="46"/>
      <c r="P59" s="44"/>
      <c r="Q59" s="46"/>
      <c r="R59" s="44"/>
      <c r="S59" s="45"/>
      <c r="T59" s="44"/>
      <c r="U59" s="44"/>
      <c r="V59" s="47"/>
      <c r="W59" s="48" t="str">
        <f aca="false">IF(V59="","",IFERROR(V59/O59,""))</f>
        <v/>
      </c>
      <c r="X59" s="44"/>
      <c r="Y59" s="46"/>
      <c r="Z59" s="49"/>
      <c r="AA59" s="44"/>
      <c r="AB59" s="50" t="str">
        <f aca="false">IFERROR(INDEX(TABLA_IVA!$C$3:$C$6,MATCH(AA59,TABLA_IVA!$A$3:$A$6,0)),"")</f>
        <v/>
      </c>
      <c r="AC59" s="47"/>
      <c r="AD59" s="44"/>
      <c r="AE59" s="51"/>
      <c r="AF59" s="52" t="str">
        <f aca="false">IF(OR(AC59="",AE59="",AB59=""),"",IFERROR(AC59/(1-AE59)*(1+AB59),""))</f>
        <v/>
      </c>
      <c r="AG59" s="47"/>
      <c r="AH59" s="52" t="str">
        <f aca="false">IF(AD59="FIJO",IF(AG59="","",AG59),IF(AF59&lt;&gt;"",AF59,IF(AG59="","",AG59)))</f>
        <v/>
      </c>
      <c r="AI59" s="52" t="str">
        <f aca="false">IF(OR(AH59="",AB59=""),"",IFERROR(AH59/(1+AB59),""))</f>
        <v/>
      </c>
      <c r="AJ59" s="50" t="str">
        <f aca="false">IF(OR(AI59="",AC59=""),"",IFERROR((AI59-AC59)/AI59,""))</f>
        <v/>
      </c>
      <c r="AK59" s="53" t="str">
        <f aca="false">IF(OR(AJ59="",AE59=""),"",AJ59-AE59)</f>
        <v/>
      </c>
      <c r="AL59" s="54" t="str">
        <f aca="false">IF(OR(AH59="",AF59=""),"",AH59-AF59)</f>
        <v/>
      </c>
      <c r="AM59" s="55" t="str">
        <f aca="false">IF(OR(A59="",K59&lt;&gt;"SI"),"",IF(AE59="","Sin objetivo",IF(AJ59="","Faltan datos",IF(AJ59&lt;0,"PÉRDIDA",IF(AK59&lt;-UMB_CRITICO,"MUY POR DEBAJO",IF(AK59&lt;-UMB_BAJO,"POR DEBAJO",IF(AK59&lt;-UMB_AJUSTADO,"AJUSTADO",IF(AK59&lt;=UMB_ALTO,"EN OBJETIVO","POR ENCIMA"))))))))</f>
        <v/>
      </c>
      <c r="AN59" s="44"/>
      <c r="AO59" s="44"/>
      <c r="AP59" s="46"/>
      <c r="AQ59" s="46"/>
      <c r="AR59" s="46"/>
      <c r="AS59" s="44"/>
      <c r="AT59" s="44"/>
      <c r="AU59" s="44"/>
      <c r="AV59" s="44"/>
      <c r="AW59" s="44"/>
      <c r="AX59" s="45"/>
      <c r="AY59" s="44"/>
      <c r="AZ59" s="56"/>
      <c r="BA59" s="45"/>
    </row>
    <row r="60" customFormat="false" ht="15" hidden="false" customHeight="false" outlineLevel="0" collapsed="false">
      <c r="A60" s="44"/>
      <c r="B60" s="44"/>
      <c r="C60" s="45"/>
      <c r="D60" s="45"/>
      <c r="E60" s="44"/>
      <c r="F60" s="44"/>
      <c r="G60" s="44"/>
      <c r="H60" s="44"/>
      <c r="I60" s="44"/>
      <c r="J60" s="44"/>
      <c r="K60" s="44"/>
      <c r="L60" s="44"/>
      <c r="M60" s="44"/>
      <c r="N60" s="44"/>
      <c r="O60" s="46"/>
      <c r="P60" s="44"/>
      <c r="Q60" s="46"/>
      <c r="R60" s="44"/>
      <c r="S60" s="45"/>
      <c r="T60" s="44"/>
      <c r="U60" s="44"/>
      <c r="V60" s="47"/>
      <c r="W60" s="48" t="str">
        <f aca="false">IF(V60="","",IFERROR(V60/O60,""))</f>
        <v/>
      </c>
      <c r="X60" s="44"/>
      <c r="Y60" s="46"/>
      <c r="Z60" s="49"/>
      <c r="AA60" s="44"/>
      <c r="AB60" s="50" t="str">
        <f aca="false">IFERROR(INDEX(TABLA_IVA!$C$3:$C$6,MATCH(AA60,TABLA_IVA!$A$3:$A$6,0)),"")</f>
        <v/>
      </c>
      <c r="AC60" s="47"/>
      <c r="AD60" s="44"/>
      <c r="AE60" s="51"/>
      <c r="AF60" s="52" t="str">
        <f aca="false">IF(OR(AC60="",AE60="",AB60=""),"",IFERROR(AC60/(1-AE60)*(1+AB60),""))</f>
        <v/>
      </c>
      <c r="AG60" s="47"/>
      <c r="AH60" s="52" t="str">
        <f aca="false">IF(AD60="FIJO",IF(AG60="","",AG60),IF(AF60&lt;&gt;"",AF60,IF(AG60="","",AG60)))</f>
        <v/>
      </c>
      <c r="AI60" s="52" t="str">
        <f aca="false">IF(OR(AH60="",AB60=""),"",IFERROR(AH60/(1+AB60),""))</f>
        <v/>
      </c>
      <c r="AJ60" s="50" t="str">
        <f aca="false">IF(OR(AI60="",AC60=""),"",IFERROR((AI60-AC60)/AI60,""))</f>
        <v/>
      </c>
      <c r="AK60" s="53" t="str">
        <f aca="false">IF(OR(AJ60="",AE60=""),"",AJ60-AE60)</f>
        <v/>
      </c>
      <c r="AL60" s="54" t="str">
        <f aca="false">IF(OR(AH60="",AF60=""),"",AH60-AF60)</f>
        <v/>
      </c>
      <c r="AM60" s="55" t="str">
        <f aca="false">IF(OR(A60="",K60&lt;&gt;"SI"),"",IF(AE60="","Sin objetivo",IF(AJ60="","Faltan datos",IF(AJ60&lt;0,"PÉRDIDA",IF(AK60&lt;-UMB_CRITICO,"MUY POR DEBAJO",IF(AK60&lt;-UMB_BAJO,"POR DEBAJO",IF(AK60&lt;-UMB_AJUSTADO,"AJUSTADO",IF(AK60&lt;=UMB_ALTO,"EN OBJETIVO","POR ENCIMA"))))))))</f>
        <v/>
      </c>
      <c r="AN60" s="44"/>
      <c r="AO60" s="44"/>
      <c r="AP60" s="46"/>
      <c r="AQ60" s="46"/>
      <c r="AR60" s="46"/>
      <c r="AS60" s="44"/>
      <c r="AT60" s="44"/>
      <c r="AU60" s="44"/>
      <c r="AV60" s="44"/>
      <c r="AW60" s="44"/>
      <c r="AX60" s="45"/>
      <c r="AY60" s="44"/>
      <c r="AZ60" s="56"/>
      <c r="BA60" s="45"/>
    </row>
    <row r="61" customFormat="false" ht="15" hidden="false" customHeight="false" outlineLevel="0" collapsed="false">
      <c r="A61" s="44"/>
      <c r="B61" s="44"/>
      <c r="C61" s="45"/>
      <c r="D61" s="45"/>
      <c r="E61" s="44"/>
      <c r="F61" s="44"/>
      <c r="G61" s="44"/>
      <c r="H61" s="44"/>
      <c r="I61" s="44"/>
      <c r="J61" s="44"/>
      <c r="K61" s="44"/>
      <c r="L61" s="44"/>
      <c r="M61" s="44"/>
      <c r="N61" s="44"/>
      <c r="O61" s="46"/>
      <c r="P61" s="44"/>
      <c r="Q61" s="46"/>
      <c r="R61" s="44"/>
      <c r="S61" s="45"/>
      <c r="T61" s="44"/>
      <c r="U61" s="44"/>
      <c r="V61" s="47"/>
      <c r="W61" s="48" t="str">
        <f aca="false">IF(V61="","",IFERROR(V61/O61,""))</f>
        <v/>
      </c>
      <c r="X61" s="44"/>
      <c r="Y61" s="46"/>
      <c r="Z61" s="49"/>
      <c r="AA61" s="44"/>
      <c r="AB61" s="50" t="str">
        <f aca="false">IFERROR(INDEX(TABLA_IVA!$C$3:$C$6,MATCH(AA61,TABLA_IVA!$A$3:$A$6,0)),"")</f>
        <v/>
      </c>
      <c r="AC61" s="47"/>
      <c r="AD61" s="44"/>
      <c r="AE61" s="51"/>
      <c r="AF61" s="52" t="str">
        <f aca="false">IF(OR(AC61="",AE61="",AB61=""),"",IFERROR(AC61/(1-AE61)*(1+AB61),""))</f>
        <v/>
      </c>
      <c r="AG61" s="47"/>
      <c r="AH61" s="52" t="str">
        <f aca="false">IF(AD61="FIJO",IF(AG61="","",AG61),IF(AF61&lt;&gt;"",AF61,IF(AG61="","",AG61)))</f>
        <v/>
      </c>
      <c r="AI61" s="52" t="str">
        <f aca="false">IF(OR(AH61="",AB61=""),"",IFERROR(AH61/(1+AB61),""))</f>
        <v/>
      </c>
      <c r="AJ61" s="50" t="str">
        <f aca="false">IF(OR(AI61="",AC61=""),"",IFERROR((AI61-AC61)/AI61,""))</f>
        <v/>
      </c>
      <c r="AK61" s="53" t="str">
        <f aca="false">IF(OR(AJ61="",AE61=""),"",AJ61-AE61)</f>
        <v/>
      </c>
      <c r="AL61" s="54" t="str">
        <f aca="false">IF(OR(AH61="",AF61=""),"",AH61-AF61)</f>
        <v/>
      </c>
      <c r="AM61" s="55" t="str">
        <f aca="false">IF(OR(A61="",K61&lt;&gt;"SI"),"",IF(AE61="","Sin objetivo",IF(AJ61="","Faltan datos",IF(AJ61&lt;0,"PÉRDIDA",IF(AK61&lt;-UMB_CRITICO,"MUY POR DEBAJO",IF(AK61&lt;-UMB_BAJO,"POR DEBAJO",IF(AK61&lt;-UMB_AJUSTADO,"AJUSTADO",IF(AK61&lt;=UMB_ALTO,"EN OBJETIVO","POR ENCIMA"))))))))</f>
        <v/>
      </c>
      <c r="AN61" s="44"/>
      <c r="AO61" s="44"/>
      <c r="AP61" s="46"/>
      <c r="AQ61" s="46"/>
      <c r="AR61" s="46"/>
      <c r="AS61" s="44"/>
      <c r="AT61" s="44"/>
      <c r="AU61" s="44"/>
      <c r="AV61" s="44"/>
      <c r="AW61" s="44"/>
      <c r="AX61" s="45"/>
      <c r="AY61" s="44"/>
      <c r="AZ61" s="56"/>
      <c r="BA61" s="45"/>
    </row>
    <row r="62" customFormat="false" ht="15" hidden="false" customHeight="false" outlineLevel="0" collapsed="false">
      <c r="A62" s="44"/>
      <c r="B62" s="44"/>
      <c r="C62" s="45"/>
      <c r="D62" s="45"/>
      <c r="E62" s="44"/>
      <c r="F62" s="44"/>
      <c r="G62" s="44"/>
      <c r="H62" s="44"/>
      <c r="I62" s="44"/>
      <c r="J62" s="44"/>
      <c r="K62" s="44"/>
      <c r="L62" s="44"/>
      <c r="M62" s="44"/>
      <c r="N62" s="44"/>
      <c r="O62" s="46"/>
      <c r="P62" s="44"/>
      <c r="Q62" s="46"/>
      <c r="R62" s="44"/>
      <c r="S62" s="45"/>
      <c r="T62" s="44"/>
      <c r="U62" s="44"/>
      <c r="V62" s="47"/>
      <c r="W62" s="48" t="str">
        <f aca="false">IF(V62="","",IFERROR(V62/O62,""))</f>
        <v/>
      </c>
      <c r="X62" s="44"/>
      <c r="Y62" s="46"/>
      <c r="Z62" s="49"/>
      <c r="AA62" s="44"/>
      <c r="AB62" s="50" t="str">
        <f aca="false">IFERROR(INDEX(TABLA_IVA!$C$3:$C$6,MATCH(AA62,TABLA_IVA!$A$3:$A$6,0)),"")</f>
        <v/>
      </c>
      <c r="AC62" s="47"/>
      <c r="AD62" s="44"/>
      <c r="AE62" s="51"/>
      <c r="AF62" s="52" t="str">
        <f aca="false">IF(OR(AC62="",AE62="",AB62=""),"",IFERROR(AC62/(1-AE62)*(1+AB62),""))</f>
        <v/>
      </c>
      <c r="AG62" s="47"/>
      <c r="AH62" s="52" t="str">
        <f aca="false">IF(AD62="FIJO",IF(AG62="","",AG62),IF(AF62&lt;&gt;"",AF62,IF(AG62="","",AG62)))</f>
        <v/>
      </c>
      <c r="AI62" s="52" t="str">
        <f aca="false">IF(OR(AH62="",AB62=""),"",IFERROR(AH62/(1+AB62),""))</f>
        <v/>
      </c>
      <c r="AJ62" s="50" t="str">
        <f aca="false">IF(OR(AI62="",AC62=""),"",IFERROR((AI62-AC62)/AI62,""))</f>
        <v/>
      </c>
      <c r="AK62" s="53" t="str">
        <f aca="false">IF(OR(AJ62="",AE62=""),"",AJ62-AE62)</f>
        <v/>
      </c>
      <c r="AL62" s="54" t="str">
        <f aca="false">IF(OR(AH62="",AF62=""),"",AH62-AF62)</f>
        <v/>
      </c>
      <c r="AM62" s="55" t="str">
        <f aca="false">IF(OR(A62="",K62&lt;&gt;"SI"),"",IF(AE62="","Sin objetivo",IF(AJ62="","Faltan datos",IF(AJ62&lt;0,"PÉRDIDA",IF(AK62&lt;-UMB_CRITICO,"MUY POR DEBAJO",IF(AK62&lt;-UMB_BAJO,"POR DEBAJO",IF(AK62&lt;-UMB_AJUSTADO,"AJUSTADO",IF(AK62&lt;=UMB_ALTO,"EN OBJETIVO","POR ENCIMA"))))))))</f>
        <v/>
      </c>
      <c r="AN62" s="44"/>
      <c r="AO62" s="44"/>
      <c r="AP62" s="46"/>
      <c r="AQ62" s="46"/>
      <c r="AR62" s="46"/>
      <c r="AS62" s="44"/>
      <c r="AT62" s="44"/>
      <c r="AU62" s="44"/>
      <c r="AV62" s="44"/>
      <c r="AW62" s="44"/>
      <c r="AX62" s="45"/>
      <c r="AY62" s="44"/>
      <c r="AZ62" s="56"/>
      <c r="BA62" s="45"/>
    </row>
    <row r="63" customFormat="false" ht="15" hidden="false" customHeight="false" outlineLevel="0" collapsed="false">
      <c r="A63" s="44"/>
      <c r="B63" s="44"/>
      <c r="C63" s="45"/>
      <c r="D63" s="45"/>
      <c r="E63" s="44"/>
      <c r="F63" s="44"/>
      <c r="G63" s="44"/>
      <c r="H63" s="44"/>
      <c r="I63" s="44"/>
      <c r="J63" s="44"/>
      <c r="K63" s="44"/>
      <c r="L63" s="44"/>
      <c r="M63" s="44"/>
      <c r="N63" s="44"/>
      <c r="O63" s="46"/>
      <c r="P63" s="44"/>
      <c r="Q63" s="46"/>
      <c r="R63" s="44"/>
      <c r="S63" s="45"/>
      <c r="T63" s="44"/>
      <c r="U63" s="44"/>
      <c r="V63" s="47"/>
      <c r="W63" s="48" t="str">
        <f aca="false">IF(V63="","",IFERROR(V63/O63,""))</f>
        <v/>
      </c>
      <c r="X63" s="44"/>
      <c r="Y63" s="46"/>
      <c r="Z63" s="49"/>
      <c r="AA63" s="44"/>
      <c r="AB63" s="50" t="str">
        <f aca="false">IFERROR(INDEX(TABLA_IVA!$C$3:$C$6,MATCH(AA63,TABLA_IVA!$A$3:$A$6,0)),"")</f>
        <v/>
      </c>
      <c r="AC63" s="47"/>
      <c r="AD63" s="44"/>
      <c r="AE63" s="51"/>
      <c r="AF63" s="52" t="str">
        <f aca="false">IF(OR(AC63="",AE63="",AB63=""),"",IFERROR(AC63/(1-AE63)*(1+AB63),""))</f>
        <v/>
      </c>
      <c r="AG63" s="47"/>
      <c r="AH63" s="52" t="str">
        <f aca="false">IF(AD63="FIJO",IF(AG63="","",AG63),IF(AF63&lt;&gt;"",AF63,IF(AG63="","",AG63)))</f>
        <v/>
      </c>
      <c r="AI63" s="52" t="str">
        <f aca="false">IF(OR(AH63="",AB63=""),"",IFERROR(AH63/(1+AB63),""))</f>
        <v/>
      </c>
      <c r="AJ63" s="50" t="str">
        <f aca="false">IF(OR(AI63="",AC63=""),"",IFERROR((AI63-AC63)/AI63,""))</f>
        <v/>
      </c>
      <c r="AK63" s="53" t="str">
        <f aca="false">IF(OR(AJ63="",AE63=""),"",AJ63-AE63)</f>
        <v/>
      </c>
      <c r="AL63" s="54" t="str">
        <f aca="false">IF(OR(AH63="",AF63=""),"",AH63-AF63)</f>
        <v/>
      </c>
      <c r="AM63" s="55" t="str">
        <f aca="false">IF(OR(A63="",K63&lt;&gt;"SI"),"",IF(AE63="","Sin objetivo",IF(AJ63="","Faltan datos",IF(AJ63&lt;0,"PÉRDIDA",IF(AK63&lt;-UMB_CRITICO,"MUY POR DEBAJO",IF(AK63&lt;-UMB_BAJO,"POR DEBAJO",IF(AK63&lt;-UMB_AJUSTADO,"AJUSTADO",IF(AK63&lt;=UMB_ALTO,"EN OBJETIVO","POR ENCIMA"))))))))</f>
        <v/>
      </c>
      <c r="AN63" s="44"/>
      <c r="AO63" s="44"/>
      <c r="AP63" s="46"/>
      <c r="AQ63" s="46"/>
      <c r="AR63" s="46"/>
      <c r="AS63" s="44"/>
      <c r="AT63" s="44"/>
      <c r="AU63" s="44"/>
      <c r="AV63" s="44"/>
      <c r="AW63" s="44"/>
      <c r="AX63" s="45"/>
      <c r="AY63" s="44"/>
      <c r="AZ63" s="56"/>
      <c r="BA63" s="45"/>
    </row>
    <row r="64" customFormat="false" ht="15" hidden="false" customHeight="false" outlineLevel="0" collapsed="false">
      <c r="A64" s="44"/>
      <c r="B64" s="44"/>
      <c r="C64" s="45"/>
      <c r="D64" s="45"/>
      <c r="E64" s="44"/>
      <c r="F64" s="44"/>
      <c r="G64" s="44"/>
      <c r="H64" s="44"/>
      <c r="I64" s="44"/>
      <c r="J64" s="44"/>
      <c r="K64" s="44"/>
      <c r="L64" s="44"/>
      <c r="M64" s="44"/>
      <c r="N64" s="44"/>
      <c r="O64" s="46"/>
      <c r="P64" s="44"/>
      <c r="Q64" s="46"/>
      <c r="R64" s="44"/>
      <c r="S64" s="45"/>
      <c r="T64" s="44"/>
      <c r="U64" s="44"/>
      <c r="V64" s="47"/>
      <c r="W64" s="48" t="str">
        <f aca="false">IF(V64="","",IFERROR(V64/O64,""))</f>
        <v/>
      </c>
      <c r="X64" s="44"/>
      <c r="Y64" s="46"/>
      <c r="Z64" s="49"/>
      <c r="AA64" s="44"/>
      <c r="AB64" s="50" t="str">
        <f aca="false">IFERROR(INDEX(TABLA_IVA!$C$3:$C$6,MATCH(AA64,TABLA_IVA!$A$3:$A$6,0)),"")</f>
        <v/>
      </c>
      <c r="AC64" s="47"/>
      <c r="AD64" s="44"/>
      <c r="AE64" s="51"/>
      <c r="AF64" s="52" t="str">
        <f aca="false">IF(OR(AC64="",AE64="",AB64=""),"",IFERROR(AC64/(1-AE64)*(1+AB64),""))</f>
        <v/>
      </c>
      <c r="AG64" s="47"/>
      <c r="AH64" s="52" t="str">
        <f aca="false">IF(AD64="FIJO",IF(AG64="","",AG64),IF(AF64&lt;&gt;"",AF64,IF(AG64="","",AG64)))</f>
        <v/>
      </c>
      <c r="AI64" s="52" t="str">
        <f aca="false">IF(OR(AH64="",AB64=""),"",IFERROR(AH64/(1+AB64),""))</f>
        <v/>
      </c>
      <c r="AJ64" s="50" t="str">
        <f aca="false">IF(OR(AI64="",AC64=""),"",IFERROR((AI64-AC64)/AI64,""))</f>
        <v/>
      </c>
      <c r="AK64" s="53" t="str">
        <f aca="false">IF(OR(AJ64="",AE64=""),"",AJ64-AE64)</f>
        <v/>
      </c>
      <c r="AL64" s="54" t="str">
        <f aca="false">IF(OR(AH64="",AF64=""),"",AH64-AF64)</f>
        <v/>
      </c>
      <c r="AM64" s="55" t="str">
        <f aca="false">IF(OR(A64="",K64&lt;&gt;"SI"),"",IF(AE64="","Sin objetivo",IF(AJ64="","Faltan datos",IF(AJ64&lt;0,"PÉRDIDA",IF(AK64&lt;-UMB_CRITICO,"MUY POR DEBAJO",IF(AK64&lt;-UMB_BAJO,"POR DEBAJO",IF(AK64&lt;-UMB_AJUSTADO,"AJUSTADO",IF(AK64&lt;=UMB_ALTO,"EN OBJETIVO","POR ENCIMA"))))))))</f>
        <v/>
      </c>
      <c r="AN64" s="44"/>
      <c r="AO64" s="44"/>
      <c r="AP64" s="46"/>
      <c r="AQ64" s="46"/>
      <c r="AR64" s="46"/>
      <c r="AS64" s="44"/>
      <c r="AT64" s="44"/>
      <c r="AU64" s="44"/>
      <c r="AV64" s="44"/>
      <c r="AW64" s="44"/>
      <c r="AX64" s="45"/>
      <c r="AY64" s="44"/>
      <c r="AZ64" s="56"/>
      <c r="BA64" s="45"/>
    </row>
    <row r="65" customFormat="false" ht="15" hidden="false" customHeight="false" outlineLevel="0" collapsed="false">
      <c r="A65" s="44"/>
      <c r="B65" s="44"/>
      <c r="C65" s="45"/>
      <c r="D65" s="45"/>
      <c r="E65" s="44"/>
      <c r="F65" s="44"/>
      <c r="G65" s="44"/>
      <c r="H65" s="44"/>
      <c r="I65" s="44"/>
      <c r="J65" s="44"/>
      <c r="K65" s="44"/>
      <c r="L65" s="44"/>
      <c r="M65" s="44"/>
      <c r="N65" s="44"/>
      <c r="O65" s="46"/>
      <c r="P65" s="44"/>
      <c r="Q65" s="46"/>
      <c r="R65" s="44"/>
      <c r="S65" s="45"/>
      <c r="T65" s="44"/>
      <c r="U65" s="44"/>
      <c r="V65" s="47"/>
      <c r="W65" s="48" t="str">
        <f aca="false">IF(V65="","",IFERROR(V65/O65,""))</f>
        <v/>
      </c>
      <c r="X65" s="44"/>
      <c r="Y65" s="46"/>
      <c r="Z65" s="49"/>
      <c r="AA65" s="44"/>
      <c r="AB65" s="50" t="str">
        <f aca="false">IFERROR(INDEX(TABLA_IVA!$C$3:$C$6,MATCH(AA65,TABLA_IVA!$A$3:$A$6,0)),"")</f>
        <v/>
      </c>
      <c r="AC65" s="47"/>
      <c r="AD65" s="44"/>
      <c r="AE65" s="51"/>
      <c r="AF65" s="52" t="str">
        <f aca="false">IF(OR(AC65="",AE65="",AB65=""),"",IFERROR(AC65/(1-AE65)*(1+AB65),""))</f>
        <v/>
      </c>
      <c r="AG65" s="47"/>
      <c r="AH65" s="52" t="str">
        <f aca="false">IF(AD65="FIJO",IF(AG65="","",AG65),IF(AF65&lt;&gt;"",AF65,IF(AG65="","",AG65)))</f>
        <v/>
      </c>
      <c r="AI65" s="52" t="str">
        <f aca="false">IF(OR(AH65="",AB65=""),"",IFERROR(AH65/(1+AB65),""))</f>
        <v/>
      </c>
      <c r="AJ65" s="50" t="str">
        <f aca="false">IF(OR(AI65="",AC65=""),"",IFERROR((AI65-AC65)/AI65,""))</f>
        <v/>
      </c>
      <c r="AK65" s="53" t="str">
        <f aca="false">IF(OR(AJ65="",AE65=""),"",AJ65-AE65)</f>
        <v/>
      </c>
      <c r="AL65" s="54" t="str">
        <f aca="false">IF(OR(AH65="",AF65=""),"",AH65-AF65)</f>
        <v/>
      </c>
      <c r="AM65" s="55" t="str">
        <f aca="false">IF(OR(A65="",K65&lt;&gt;"SI"),"",IF(AE65="","Sin objetivo",IF(AJ65="","Faltan datos",IF(AJ65&lt;0,"PÉRDIDA",IF(AK65&lt;-UMB_CRITICO,"MUY POR DEBAJO",IF(AK65&lt;-UMB_BAJO,"POR DEBAJO",IF(AK65&lt;-UMB_AJUSTADO,"AJUSTADO",IF(AK65&lt;=UMB_ALTO,"EN OBJETIVO","POR ENCIMA"))))))))</f>
        <v/>
      </c>
      <c r="AN65" s="44"/>
      <c r="AO65" s="44"/>
      <c r="AP65" s="46"/>
      <c r="AQ65" s="46"/>
      <c r="AR65" s="46"/>
      <c r="AS65" s="44"/>
      <c r="AT65" s="44"/>
      <c r="AU65" s="44"/>
      <c r="AV65" s="44"/>
      <c r="AW65" s="44"/>
      <c r="AX65" s="45"/>
      <c r="AY65" s="44"/>
      <c r="AZ65" s="56"/>
      <c r="BA65" s="45"/>
    </row>
    <row r="66" customFormat="false" ht="15" hidden="false" customHeight="false" outlineLevel="0" collapsed="false">
      <c r="A66" s="44"/>
      <c r="B66" s="44"/>
      <c r="C66" s="45"/>
      <c r="D66" s="45"/>
      <c r="E66" s="44"/>
      <c r="F66" s="44"/>
      <c r="G66" s="44"/>
      <c r="H66" s="44"/>
      <c r="I66" s="44"/>
      <c r="J66" s="44"/>
      <c r="K66" s="44"/>
      <c r="L66" s="44"/>
      <c r="M66" s="44"/>
      <c r="N66" s="44"/>
      <c r="O66" s="46"/>
      <c r="P66" s="44"/>
      <c r="Q66" s="46"/>
      <c r="R66" s="44"/>
      <c r="S66" s="45"/>
      <c r="T66" s="44"/>
      <c r="U66" s="44"/>
      <c r="V66" s="47"/>
      <c r="W66" s="48" t="str">
        <f aca="false">IF(V66="","",IFERROR(V66/O66,""))</f>
        <v/>
      </c>
      <c r="X66" s="44"/>
      <c r="Y66" s="46"/>
      <c r="Z66" s="49"/>
      <c r="AA66" s="44"/>
      <c r="AB66" s="50" t="str">
        <f aca="false">IFERROR(INDEX(TABLA_IVA!$C$3:$C$6,MATCH(AA66,TABLA_IVA!$A$3:$A$6,0)),"")</f>
        <v/>
      </c>
      <c r="AC66" s="47"/>
      <c r="AD66" s="44"/>
      <c r="AE66" s="51"/>
      <c r="AF66" s="52" t="str">
        <f aca="false">IF(OR(AC66="",AE66="",AB66=""),"",IFERROR(AC66/(1-AE66)*(1+AB66),""))</f>
        <v/>
      </c>
      <c r="AG66" s="47"/>
      <c r="AH66" s="52" t="str">
        <f aca="false">IF(AD66="FIJO",IF(AG66="","",AG66),IF(AF66&lt;&gt;"",AF66,IF(AG66="","",AG66)))</f>
        <v/>
      </c>
      <c r="AI66" s="52" t="str">
        <f aca="false">IF(OR(AH66="",AB66=""),"",IFERROR(AH66/(1+AB66),""))</f>
        <v/>
      </c>
      <c r="AJ66" s="50" t="str">
        <f aca="false">IF(OR(AI66="",AC66=""),"",IFERROR((AI66-AC66)/AI66,""))</f>
        <v/>
      </c>
      <c r="AK66" s="53" t="str">
        <f aca="false">IF(OR(AJ66="",AE66=""),"",AJ66-AE66)</f>
        <v/>
      </c>
      <c r="AL66" s="54" t="str">
        <f aca="false">IF(OR(AH66="",AF66=""),"",AH66-AF66)</f>
        <v/>
      </c>
      <c r="AM66" s="55" t="str">
        <f aca="false">IF(OR(A66="",K66&lt;&gt;"SI"),"",IF(AE66="","Sin objetivo",IF(AJ66="","Faltan datos",IF(AJ66&lt;0,"PÉRDIDA",IF(AK66&lt;-UMB_CRITICO,"MUY POR DEBAJO",IF(AK66&lt;-UMB_BAJO,"POR DEBAJO",IF(AK66&lt;-UMB_AJUSTADO,"AJUSTADO",IF(AK66&lt;=UMB_ALTO,"EN OBJETIVO","POR ENCIMA"))))))))</f>
        <v/>
      </c>
      <c r="AN66" s="44"/>
      <c r="AO66" s="44"/>
      <c r="AP66" s="46"/>
      <c r="AQ66" s="46"/>
      <c r="AR66" s="46"/>
      <c r="AS66" s="44"/>
      <c r="AT66" s="44"/>
      <c r="AU66" s="44"/>
      <c r="AV66" s="44"/>
      <c r="AW66" s="44"/>
      <c r="AX66" s="45"/>
      <c r="AY66" s="44"/>
      <c r="AZ66" s="56"/>
      <c r="BA66" s="45"/>
    </row>
    <row r="67" customFormat="false" ht="15" hidden="false" customHeight="false" outlineLevel="0" collapsed="false">
      <c r="A67" s="44"/>
      <c r="B67" s="44"/>
      <c r="C67" s="45"/>
      <c r="D67" s="45"/>
      <c r="E67" s="44"/>
      <c r="F67" s="44"/>
      <c r="G67" s="44"/>
      <c r="H67" s="44"/>
      <c r="I67" s="44"/>
      <c r="J67" s="44"/>
      <c r="K67" s="44"/>
      <c r="L67" s="44"/>
      <c r="M67" s="44"/>
      <c r="N67" s="44"/>
      <c r="O67" s="46"/>
      <c r="P67" s="44"/>
      <c r="Q67" s="46"/>
      <c r="R67" s="44"/>
      <c r="S67" s="45"/>
      <c r="T67" s="44"/>
      <c r="U67" s="44"/>
      <c r="V67" s="47"/>
      <c r="W67" s="48" t="str">
        <f aca="false">IF(V67="","",IFERROR(V67/O67,""))</f>
        <v/>
      </c>
      <c r="X67" s="44"/>
      <c r="Y67" s="46"/>
      <c r="Z67" s="49"/>
      <c r="AA67" s="44"/>
      <c r="AB67" s="50" t="str">
        <f aca="false">IFERROR(INDEX(TABLA_IVA!$C$3:$C$6,MATCH(AA67,TABLA_IVA!$A$3:$A$6,0)),"")</f>
        <v/>
      </c>
      <c r="AC67" s="47"/>
      <c r="AD67" s="44"/>
      <c r="AE67" s="51"/>
      <c r="AF67" s="52" t="str">
        <f aca="false">IF(OR(AC67="",AE67="",AB67=""),"",IFERROR(AC67/(1-AE67)*(1+AB67),""))</f>
        <v/>
      </c>
      <c r="AG67" s="47"/>
      <c r="AH67" s="52" t="str">
        <f aca="false">IF(AD67="FIJO",IF(AG67="","",AG67),IF(AF67&lt;&gt;"",AF67,IF(AG67="","",AG67)))</f>
        <v/>
      </c>
      <c r="AI67" s="52" t="str">
        <f aca="false">IF(OR(AH67="",AB67=""),"",IFERROR(AH67/(1+AB67),""))</f>
        <v/>
      </c>
      <c r="AJ67" s="50" t="str">
        <f aca="false">IF(OR(AI67="",AC67=""),"",IFERROR((AI67-AC67)/AI67,""))</f>
        <v/>
      </c>
      <c r="AK67" s="53" t="str">
        <f aca="false">IF(OR(AJ67="",AE67=""),"",AJ67-AE67)</f>
        <v/>
      </c>
      <c r="AL67" s="54" t="str">
        <f aca="false">IF(OR(AH67="",AF67=""),"",AH67-AF67)</f>
        <v/>
      </c>
      <c r="AM67" s="55" t="str">
        <f aca="false">IF(OR(A67="",K67&lt;&gt;"SI"),"",IF(AE67="","Sin objetivo",IF(AJ67="","Faltan datos",IF(AJ67&lt;0,"PÉRDIDA",IF(AK67&lt;-UMB_CRITICO,"MUY POR DEBAJO",IF(AK67&lt;-UMB_BAJO,"POR DEBAJO",IF(AK67&lt;-UMB_AJUSTADO,"AJUSTADO",IF(AK67&lt;=UMB_ALTO,"EN OBJETIVO","POR ENCIMA"))))))))</f>
        <v/>
      </c>
      <c r="AN67" s="44"/>
      <c r="AO67" s="44"/>
      <c r="AP67" s="46"/>
      <c r="AQ67" s="46"/>
      <c r="AR67" s="46"/>
      <c r="AS67" s="44"/>
      <c r="AT67" s="44"/>
      <c r="AU67" s="44"/>
      <c r="AV67" s="44"/>
      <c r="AW67" s="44"/>
      <c r="AX67" s="45"/>
      <c r="AY67" s="44"/>
      <c r="AZ67" s="56"/>
      <c r="BA67" s="45"/>
    </row>
    <row r="68" customFormat="false" ht="15" hidden="false" customHeight="false" outlineLevel="0" collapsed="false">
      <c r="A68" s="44"/>
      <c r="B68" s="44"/>
      <c r="C68" s="45"/>
      <c r="D68" s="45"/>
      <c r="E68" s="44"/>
      <c r="F68" s="44"/>
      <c r="G68" s="44"/>
      <c r="H68" s="44"/>
      <c r="I68" s="44"/>
      <c r="J68" s="44"/>
      <c r="K68" s="44"/>
      <c r="L68" s="44"/>
      <c r="M68" s="44"/>
      <c r="N68" s="44"/>
      <c r="O68" s="46"/>
      <c r="P68" s="44"/>
      <c r="Q68" s="46"/>
      <c r="R68" s="44"/>
      <c r="S68" s="45"/>
      <c r="T68" s="44"/>
      <c r="U68" s="44"/>
      <c r="V68" s="47"/>
      <c r="W68" s="48" t="str">
        <f aca="false">IF(V68="","",IFERROR(V68/O68,""))</f>
        <v/>
      </c>
      <c r="X68" s="44"/>
      <c r="Y68" s="46"/>
      <c r="Z68" s="49"/>
      <c r="AA68" s="44"/>
      <c r="AB68" s="50" t="str">
        <f aca="false">IFERROR(INDEX(TABLA_IVA!$C$3:$C$6,MATCH(AA68,TABLA_IVA!$A$3:$A$6,0)),"")</f>
        <v/>
      </c>
      <c r="AC68" s="47"/>
      <c r="AD68" s="44"/>
      <c r="AE68" s="51"/>
      <c r="AF68" s="52" t="str">
        <f aca="false">IF(OR(AC68="",AE68="",AB68=""),"",IFERROR(AC68/(1-AE68)*(1+AB68),""))</f>
        <v/>
      </c>
      <c r="AG68" s="47"/>
      <c r="AH68" s="52" t="str">
        <f aca="false">IF(AD68="FIJO",IF(AG68="","",AG68),IF(AF68&lt;&gt;"",AF68,IF(AG68="","",AG68)))</f>
        <v/>
      </c>
      <c r="AI68" s="52" t="str">
        <f aca="false">IF(OR(AH68="",AB68=""),"",IFERROR(AH68/(1+AB68),""))</f>
        <v/>
      </c>
      <c r="AJ68" s="50" t="str">
        <f aca="false">IF(OR(AI68="",AC68=""),"",IFERROR((AI68-AC68)/AI68,""))</f>
        <v/>
      </c>
      <c r="AK68" s="53" t="str">
        <f aca="false">IF(OR(AJ68="",AE68=""),"",AJ68-AE68)</f>
        <v/>
      </c>
      <c r="AL68" s="54" t="str">
        <f aca="false">IF(OR(AH68="",AF68=""),"",AH68-AF68)</f>
        <v/>
      </c>
      <c r="AM68" s="55" t="str">
        <f aca="false">IF(OR(A68="",K68&lt;&gt;"SI"),"",IF(AE68="","Sin objetivo",IF(AJ68="","Faltan datos",IF(AJ68&lt;0,"PÉRDIDA",IF(AK68&lt;-UMB_CRITICO,"MUY POR DEBAJO",IF(AK68&lt;-UMB_BAJO,"POR DEBAJO",IF(AK68&lt;-UMB_AJUSTADO,"AJUSTADO",IF(AK68&lt;=UMB_ALTO,"EN OBJETIVO","POR ENCIMA"))))))))</f>
        <v/>
      </c>
      <c r="AN68" s="44"/>
      <c r="AO68" s="44"/>
      <c r="AP68" s="46"/>
      <c r="AQ68" s="46"/>
      <c r="AR68" s="46"/>
      <c r="AS68" s="44"/>
      <c r="AT68" s="44"/>
      <c r="AU68" s="44"/>
      <c r="AV68" s="44"/>
      <c r="AW68" s="44"/>
      <c r="AX68" s="45"/>
      <c r="AY68" s="44"/>
      <c r="AZ68" s="56"/>
      <c r="BA68" s="45"/>
    </row>
    <row r="69" customFormat="false" ht="15" hidden="false" customHeight="false" outlineLevel="0" collapsed="false">
      <c r="A69" s="44"/>
      <c r="B69" s="44"/>
      <c r="C69" s="45"/>
      <c r="D69" s="45"/>
      <c r="E69" s="44"/>
      <c r="F69" s="44"/>
      <c r="G69" s="44"/>
      <c r="H69" s="44"/>
      <c r="I69" s="44"/>
      <c r="J69" s="44"/>
      <c r="K69" s="44"/>
      <c r="L69" s="44"/>
      <c r="M69" s="44"/>
      <c r="N69" s="44"/>
      <c r="O69" s="46"/>
      <c r="P69" s="44"/>
      <c r="Q69" s="46"/>
      <c r="R69" s="44"/>
      <c r="S69" s="45"/>
      <c r="T69" s="44"/>
      <c r="U69" s="44"/>
      <c r="V69" s="47"/>
      <c r="W69" s="48" t="str">
        <f aca="false">IF(V69="","",IFERROR(V69/O69,""))</f>
        <v/>
      </c>
      <c r="X69" s="44"/>
      <c r="Y69" s="46"/>
      <c r="Z69" s="49"/>
      <c r="AA69" s="44"/>
      <c r="AB69" s="50" t="str">
        <f aca="false">IFERROR(INDEX(TABLA_IVA!$C$3:$C$6,MATCH(AA69,TABLA_IVA!$A$3:$A$6,0)),"")</f>
        <v/>
      </c>
      <c r="AC69" s="47"/>
      <c r="AD69" s="44"/>
      <c r="AE69" s="51"/>
      <c r="AF69" s="52" t="str">
        <f aca="false">IF(OR(AC69="",AE69="",AB69=""),"",IFERROR(AC69/(1-AE69)*(1+AB69),""))</f>
        <v/>
      </c>
      <c r="AG69" s="47"/>
      <c r="AH69" s="52" t="str">
        <f aca="false">IF(AD69="FIJO",IF(AG69="","",AG69),IF(AF69&lt;&gt;"",AF69,IF(AG69="","",AG69)))</f>
        <v/>
      </c>
      <c r="AI69" s="52" t="str">
        <f aca="false">IF(OR(AH69="",AB69=""),"",IFERROR(AH69/(1+AB69),""))</f>
        <v/>
      </c>
      <c r="AJ69" s="50" t="str">
        <f aca="false">IF(OR(AI69="",AC69=""),"",IFERROR((AI69-AC69)/AI69,""))</f>
        <v/>
      </c>
      <c r="AK69" s="53" t="str">
        <f aca="false">IF(OR(AJ69="",AE69=""),"",AJ69-AE69)</f>
        <v/>
      </c>
      <c r="AL69" s="54" t="str">
        <f aca="false">IF(OR(AH69="",AF69=""),"",AH69-AF69)</f>
        <v/>
      </c>
      <c r="AM69" s="55" t="str">
        <f aca="false">IF(OR(A69="",K69&lt;&gt;"SI"),"",IF(AE69="","Sin objetivo",IF(AJ69="","Faltan datos",IF(AJ69&lt;0,"PÉRDIDA",IF(AK69&lt;-UMB_CRITICO,"MUY POR DEBAJO",IF(AK69&lt;-UMB_BAJO,"POR DEBAJO",IF(AK69&lt;-UMB_AJUSTADO,"AJUSTADO",IF(AK69&lt;=UMB_ALTO,"EN OBJETIVO","POR ENCIMA"))))))))</f>
        <v/>
      </c>
      <c r="AN69" s="44"/>
      <c r="AO69" s="44"/>
      <c r="AP69" s="46"/>
      <c r="AQ69" s="46"/>
      <c r="AR69" s="46"/>
      <c r="AS69" s="44"/>
      <c r="AT69" s="44"/>
      <c r="AU69" s="44"/>
      <c r="AV69" s="44"/>
      <c r="AW69" s="44"/>
      <c r="AX69" s="45"/>
      <c r="AY69" s="44"/>
      <c r="AZ69" s="56"/>
      <c r="BA69" s="45"/>
    </row>
    <row r="70" customFormat="false" ht="15" hidden="false" customHeight="false" outlineLevel="0" collapsed="false">
      <c r="A70" s="44"/>
      <c r="B70" s="44"/>
      <c r="C70" s="45"/>
      <c r="D70" s="45"/>
      <c r="E70" s="44"/>
      <c r="F70" s="44"/>
      <c r="G70" s="44"/>
      <c r="H70" s="44"/>
      <c r="I70" s="44"/>
      <c r="J70" s="44"/>
      <c r="K70" s="44"/>
      <c r="L70" s="44"/>
      <c r="M70" s="44"/>
      <c r="N70" s="44"/>
      <c r="O70" s="46"/>
      <c r="P70" s="44"/>
      <c r="Q70" s="46"/>
      <c r="R70" s="44"/>
      <c r="S70" s="45"/>
      <c r="T70" s="44"/>
      <c r="U70" s="44"/>
      <c r="V70" s="47"/>
      <c r="W70" s="48" t="str">
        <f aca="false">IF(V70="","",IFERROR(V70/O70,""))</f>
        <v/>
      </c>
      <c r="X70" s="44"/>
      <c r="Y70" s="46"/>
      <c r="Z70" s="49"/>
      <c r="AA70" s="44"/>
      <c r="AB70" s="50" t="str">
        <f aca="false">IFERROR(INDEX(TABLA_IVA!$C$3:$C$6,MATCH(AA70,TABLA_IVA!$A$3:$A$6,0)),"")</f>
        <v/>
      </c>
      <c r="AC70" s="47"/>
      <c r="AD70" s="44"/>
      <c r="AE70" s="51"/>
      <c r="AF70" s="52" t="str">
        <f aca="false">IF(OR(AC70="",AE70="",AB70=""),"",IFERROR(AC70/(1-AE70)*(1+AB70),""))</f>
        <v/>
      </c>
      <c r="AG70" s="47"/>
      <c r="AH70" s="52" t="str">
        <f aca="false">IF(AD70="FIJO",IF(AG70="","",AG70),IF(AF70&lt;&gt;"",AF70,IF(AG70="","",AG70)))</f>
        <v/>
      </c>
      <c r="AI70" s="52" t="str">
        <f aca="false">IF(OR(AH70="",AB70=""),"",IFERROR(AH70/(1+AB70),""))</f>
        <v/>
      </c>
      <c r="AJ70" s="50" t="str">
        <f aca="false">IF(OR(AI70="",AC70=""),"",IFERROR((AI70-AC70)/AI70,""))</f>
        <v/>
      </c>
      <c r="AK70" s="53" t="str">
        <f aca="false">IF(OR(AJ70="",AE70=""),"",AJ70-AE70)</f>
        <v/>
      </c>
      <c r="AL70" s="54" t="str">
        <f aca="false">IF(OR(AH70="",AF70=""),"",AH70-AF70)</f>
        <v/>
      </c>
      <c r="AM70" s="55" t="str">
        <f aca="false">IF(OR(A70="",K70&lt;&gt;"SI"),"",IF(AE70="","Sin objetivo",IF(AJ70="","Faltan datos",IF(AJ70&lt;0,"PÉRDIDA",IF(AK70&lt;-UMB_CRITICO,"MUY POR DEBAJO",IF(AK70&lt;-UMB_BAJO,"POR DEBAJO",IF(AK70&lt;-UMB_AJUSTADO,"AJUSTADO",IF(AK70&lt;=UMB_ALTO,"EN OBJETIVO","POR ENCIMA"))))))))</f>
        <v/>
      </c>
      <c r="AN70" s="44"/>
      <c r="AO70" s="44"/>
      <c r="AP70" s="46"/>
      <c r="AQ70" s="46"/>
      <c r="AR70" s="46"/>
      <c r="AS70" s="44"/>
      <c r="AT70" s="44"/>
      <c r="AU70" s="44"/>
      <c r="AV70" s="44"/>
      <c r="AW70" s="44"/>
      <c r="AX70" s="45"/>
      <c r="AY70" s="44"/>
      <c r="AZ70" s="56"/>
      <c r="BA70" s="45"/>
    </row>
    <row r="71" customFormat="false" ht="15" hidden="false" customHeight="false" outlineLevel="0" collapsed="false">
      <c r="A71" s="44"/>
      <c r="B71" s="44"/>
      <c r="C71" s="45"/>
      <c r="D71" s="45"/>
      <c r="E71" s="44"/>
      <c r="F71" s="44"/>
      <c r="G71" s="44"/>
      <c r="H71" s="44"/>
      <c r="I71" s="44"/>
      <c r="J71" s="44"/>
      <c r="K71" s="44"/>
      <c r="L71" s="44"/>
      <c r="M71" s="44"/>
      <c r="N71" s="44"/>
      <c r="O71" s="46"/>
      <c r="P71" s="44"/>
      <c r="Q71" s="46"/>
      <c r="R71" s="44"/>
      <c r="S71" s="45"/>
      <c r="T71" s="44"/>
      <c r="U71" s="44"/>
      <c r="V71" s="47"/>
      <c r="W71" s="48" t="str">
        <f aca="false">IF(V71="","",IFERROR(V71/O71,""))</f>
        <v/>
      </c>
      <c r="X71" s="44"/>
      <c r="Y71" s="46"/>
      <c r="Z71" s="49"/>
      <c r="AA71" s="44"/>
      <c r="AB71" s="50" t="str">
        <f aca="false">IFERROR(INDEX(TABLA_IVA!$C$3:$C$6,MATCH(AA71,TABLA_IVA!$A$3:$A$6,0)),"")</f>
        <v/>
      </c>
      <c r="AC71" s="47"/>
      <c r="AD71" s="44"/>
      <c r="AE71" s="51"/>
      <c r="AF71" s="52" t="str">
        <f aca="false">IF(OR(AC71="",AE71="",AB71=""),"",IFERROR(AC71/(1-AE71)*(1+AB71),""))</f>
        <v/>
      </c>
      <c r="AG71" s="47"/>
      <c r="AH71" s="52" t="str">
        <f aca="false">IF(AD71="FIJO",IF(AG71="","",AG71),IF(AF71&lt;&gt;"",AF71,IF(AG71="","",AG71)))</f>
        <v/>
      </c>
      <c r="AI71" s="52" t="str">
        <f aca="false">IF(OR(AH71="",AB71=""),"",IFERROR(AH71/(1+AB71),""))</f>
        <v/>
      </c>
      <c r="AJ71" s="50" t="str">
        <f aca="false">IF(OR(AI71="",AC71=""),"",IFERROR((AI71-AC71)/AI71,""))</f>
        <v/>
      </c>
      <c r="AK71" s="53" t="str">
        <f aca="false">IF(OR(AJ71="",AE71=""),"",AJ71-AE71)</f>
        <v/>
      </c>
      <c r="AL71" s="54" t="str">
        <f aca="false">IF(OR(AH71="",AF71=""),"",AH71-AF71)</f>
        <v/>
      </c>
      <c r="AM71" s="55" t="str">
        <f aca="false">IF(OR(A71="",K71&lt;&gt;"SI"),"",IF(AE71="","Sin objetivo",IF(AJ71="","Faltan datos",IF(AJ71&lt;0,"PÉRDIDA",IF(AK71&lt;-UMB_CRITICO,"MUY POR DEBAJO",IF(AK71&lt;-UMB_BAJO,"POR DEBAJO",IF(AK71&lt;-UMB_AJUSTADO,"AJUSTADO",IF(AK71&lt;=UMB_ALTO,"EN OBJETIVO","POR ENCIMA"))))))))</f>
        <v/>
      </c>
      <c r="AN71" s="44"/>
      <c r="AO71" s="44"/>
      <c r="AP71" s="46"/>
      <c r="AQ71" s="46"/>
      <c r="AR71" s="46"/>
      <c r="AS71" s="44"/>
      <c r="AT71" s="44"/>
      <c r="AU71" s="44"/>
      <c r="AV71" s="44"/>
      <c r="AW71" s="44"/>
      <c r="AX71" s="45"/>
      <c r="AY71" s="44"/>
      <c r="AZ71" s="56"/>
      <c r="BA71" s="45"/>
    </row>
    <row r="72" customFormat="false" ht="15" hidden="false" customHeight="false" outlineLevel="0" collapsed="false">
      <c r="A72" s="44"/>
      <c r="B72" s="44"/>
      <c r="C72" s="45"/>
      <c r="D72" s="45"/>
      <c r="E72" s="44"/>
      <c r="F72" s="44"/>
      <c r="G72" s="44"/>
      <c r="H72" s="44"/>
      <c r="I72" s="44"/>
      <c r="J72" s="44"/>
      <c r="K72" s="44"/>
      <c r="L72" s="44"/>
      <c r="M72" s="44"/>
      <c r="N72" s="44"/>
      <c r="O72" s="46"/>
      <c r="P72" s="44"/>
      <c r="Q72" s="46"/>
      <c r="R72" s="44"/>
      <c r="S72" s="45"/>
      <c r="T72" s="44"/>
      <c r="U72" s="44"/>
      <c r="V72" s="47"/>
      <c r="W72" s="48" t="str">
        <f aca="false">IF(V72="","",IFERROR(V72/O72,""))</f>
        <v/>
      </c>
      <c r="X72" s="44"/>
      <c r="Y72" s="46"/>
      <c r="Z72" s="49"/>
      <c r="AA72" s="44"/>
      <c r="AB72" s="50" t="str">
        <f aca="false">IFERROR(INDEX(TABLA_IVA!$C$3:$C$6,MATCH(AA72,TABLA_IVA!$A$3:$A$6,0)),"")</f>
        <v/>
      </c>
      <c r="AC72" s="47"/>
      <c r="AD72" s="44"/>
      <c r="AE72" s="51"/>
      <c r="AF72" s="52" t="str">
        <f aca="false">IF(OR(AC72="",AE72="",AB72=""),"",IFERROR(AC72/(1-AE72)*(1+AB72),""))</f>
        <v/>
      </c>
      <c r="AG72" s="47"/>
      <c r="AH72" s="52" t="str">
        <f aca="false">IF(AD72="FIJO",IF(AG72="","",AG72),IF(AF72&lt;&gt;"",AF72,IF(AG72="","",AG72)))</f>
        <v/>
      </c>
      <c r="AI72" s="52" t="str">
        <f aca="false">IF(OR(AH72="",AB72=""),"",IFERROR(AH72/(1+AB72),""))</f>
        <v/>
      </c>
      <c r="AJ72" s="50" t="str">
        <f aca="false">IF(OR(AI72="",AC72=""),"",IFERROR((AI72-AC72)/AI72,""))</f>
        <v/>
      </c>
      <c r="AK72" s="53" t="str">
        <f aca="false">IF(OR(AJ72="",AE72=""),"",AJ72-AE72)</f>
        <v/>
      </c>
      <c r="AL72" s="54" t="str">
        <f aca="false">IF(OR(AH72="",AF72=""),"",AH72-AF72)</f>
        <v/>
      </c>
      <c r="AM72" s="55" t="str">
        <f aca="false">IF(OR(A72="",K72&lt;&gt;"SI"),"",IF(AE72="","Sin objetivo",IF(AJ72="","Faltan datos",IF(AJ72&lt;0,"PÉRDIDA",IF(AK72&lt;-UMB_CRITICO,"MUY POR DEBAJO",IF(AK72&lt;-UMB_BAJO,"POR DEBAJO",IF(AK72&lt;-UMB_AJUSTADO,"AJUSTADO",IF(AK72&lt;=UMB_ALTO,"EN OBJETIVO","POR ENCIMA"))))))))</f>
        <v/>
      </c>
      <c r="AN72" s="44"/>
      <c r="AO72" s="44"/>
      <c r="AP72" s="46"/>
      <c r="AQ72" s="46"/>
      <c r="AR72" s="46"/>
      <c r="AS72" s="44"/>
      <c r="AT72" s="44"/>
      <c r="AU72" s="44"/>
      <c r="AV72" s="44"/>
      <c r="AW72" s="44"/>
      <c r="AX72" s="45"/>
      <c r="AY72" s="44"/>
      <c r="AZ72" s="56"/>
      <c r="BA72" s="45"/>
    </row>
    <row r="73" customFormat="false" ht="15" hidden="false" customHeight="false" outlineLevel="0" collapsed="false">
      <c r="A73" s="44"/>
      <c r="B73" s="44"/>
      <c r="C73" s="45"/>
      <c r="D73" s="45"/>
      <c r="E73" s="44"/>
      <c r="F73" s="44"/>
      <c r="G73" s="44"/>
      <c r="H73" s="44"/>
      <c r="I73" s="44"/>
      <c r="J73" s="44"/>
      <c r="K73" s="44"/>
      <c r="L73" s="44"/>
      <c r="M73" s="44"/>
      <c r="N73" s="44"/>
      <c r="O73" s="46"/>
      <c r="P73" s="44"/>
      <c r="Q73" s="46"/>
      <c r="R73" s="44"/>
      <c r="S73" s="45"/>
      <c r="T73" s="44"/>
      <c r="U73" s="44"/>
      <c r="V73" s="47"/>
      <c r="W73" s="48" t="str">
        <f aca="false">IF(V73="","",IFERROR(V73/O73,""))</f>
        <v/>
      </c>
      <c r="X73" s="44"/>
      <c r="Y73" s="46"/>
      <c r="Z73" s="49"/>
      <c r="AA73" s="44"/>
      <c r="AB73" s="50" t="str">
        <f aca="false">IFERROR(INDEX(TABLA_IVA!$C$3:$C$6,MATCH(AA73,TABLA_IVA!$A$3:$A$6,0)),"")</f>
        <v/>
      </c>
      <c r="AC73" s="47"/>
      <c r="AD73" s="44"/>
      <c r="AE73" s="51"/>
      <c r="AF73" s="52" t="str">
        <f aca="false">IF(OR(AC73="",AE73="",AB73=""),"",IFERROR(AC73/(1-AE73)*(1+AB73),""))</f>
        <v/>
      </c>
      <c r="AG73" s="47"/>
      <c r="AH73" s="52" t="str">
        <f aca="false">IF(AD73="FIJO",IF(AG73="","",AG73),IF(AF73&lt;&gt;"",AF73,IF(AG73="","",AG73)))</f>
        <v/>
      </c>
      <c r="AI73" s="52" t="str">
        <f aca="false">IF(OR(AH73="",AB73=""),"",IFERROR(AH73/(1+AB73),""))</f>
        <v/>
      </c>
      <c r="AJ73" s="50" t="str">
        <f aca="false">IF(OR(AI73="",AC73=""),"",IFERROR((AI73-AC73)/AI73,""))</f>
        <v/>
      </c>
      <c r="AK73" s="53" t="str">
        <f aca="false">IF(OR(AJ73="",AE73=""),"",AJ73-AE73)</f>
        <v/>
      </c>
      <c r="AL73" s="54" t="str">
        <f aca="false">IF(OR(AH73="",AF73=""),"",AH73-AF73)</f>
        <v/>
      </c>
      <c r="AM73" s="55" t="str">
        <f aca="false">IF(OR(A73="",K73&lt;&gt;"SI"),"",IF(AE73="","Sin objetivo",IF(AJ73="","Faltan datos",IF(AJ73&lt;0,"PÉRDIDA",IF(AK73&lt;-UMB_CRITICO,"MUY POR DEBAJO",IF(AK73&lt;-UMB_BAJO,"POR DEBAJO",IF(AK73&lt;-UMB_AJUSTADO,"AJUSTADO",IF(AK73&lt;=UMB_ALTO,"EN OBJETIVO","POR ENCIMA"))))))))</f>
        <v/>
      </c>
      <c r="AN73" s="44"/>
      <c r="AO73" s="44"/>
      <c r="AP73" s="46"/>
      <c r="AQ73" s="46"/>
      <c r="AR73" s="46"/>
      <c r="AS73" s="44"/>
      <c r="AT73" s="44"/>
      <c r="AU73" s="44"/>
      <c r="AV73" s="44"/>
      <c r="AW73" s="44"/>
      <c r="AX73" s="45"/>
      <c r="AY73" s="44"/>
      <c r="AZ73" s="56"/>
      <c r="BA73" s="45"/>
    </row>
    <row r="74" customFormat="false" ht="15" hidden="false" customHeight="false" outlineLevel="0" collapsed="false">
      <c r="A74" s="44"/>
      <c r="B74" s="44"/>
      <c r="C74" s="45"/>
      <c r="D74" s="45"/>
      <c r="E74" s="44"/>
      <c r="F74" s="44"/>
      <c r="G74" s="44"/>
      <c r="H74" s="44"/>
      <c r="I74" s="44"/>
      <c r="J74" s="44"/>
      <c r="K74" s="44"/>
      <c r="L74" s="44"/>
      <c r="M74" s="44"/>
      <c r="N74" s="44"/>
      <c r="O74" s="46"/>
      <c r="P74" s="44"/>
      <c r="Q74" s="46"/>
      <c r="R74" s="44"/>
      <c r="S74" s="45"/>
      <c r="T74" s="44"/>
      <c r="U74" s="44"/>
      <c r="V74" s="47"/>
      <c r="W74" s="48" t="str">
        <f aca="false">IF(V74="","",IFERROR(V74/O74,""))</f>
        <v/>
      </c>
      <c r="X74" s="44"/>
      <c r="Y74" s="46"/>
      <c r="Z74" s="49"/>
      <c r="AA74" s="44"/>
      <c r="AB74" s="50" t="str">
        <f aca="false">IFERROR(INDEX(TABLA_IVA!$C$3:$C$6,MATCH(AA74,TABLA_IVA!$A$3:$A$6,0)),"")</f>
        <v/>
      </c>
      <c r="AC74" s="47"/>
      <c r="AD74" s="44"/>
      <c r="AE74" s="51"/>
      <c r="AF74" s="52" t="str">
        <f aca="false">IF(OR(AC74="",AE74="",AB74=""),"",IFERROR(AC74/(1-AE74)*(1+AB74),""))</f>
        <v/>
      </c>
      <c r="AG74" s="47"/>
      <c r="AH74" s="52" t="str">
        <f aca="false">IF(AD74="FIJO",IF(AG74="","",AG74),IF(AF74&lt;&gt;"",AF74,IF(AG74="","",AG74)))</f>
        <v/>
      </c>
      <c r="AI74" s="52" t="str">
        <f aca="false">IF(OR(AH74="",AB74=""),"",IFERROR(AH74/(1+AB74),""))</f>
        <v/>
      </c>
      <c r="AJ74" s="50" t="str">
        <f aca="false">IF(OR(AI74="",AC74=""),"",IFERROR((AI74-AC74)/AI74,""))</f>
        <v/>
      </c>
      <c r="AK74" s="53" t="str">
        <f aca="false">IF(OR(AJ74="",AE74=""),"",AJ74-AE74)</f>
        <v/>
      </c>
      <c r="AL74" s="54" t="str">
        <f aca="false">IF(OR(AH74="",AF74=""),"",AH74-AF74)</f>
        <v/>
      </c>
      <c r="AM74" s="55" t="str">
        <f aca="false">IF(OR(A74="",K74&lt;&gt;"SI"),"",IF(AE74="","Sin objetivo",IF(AJ74="","Faltan datos",IF(AJ74&lt;0,"PÉRDIDA",IF(AK74&lt;-UMB_CRITICO,"MUY POR DEBAJO",IF(AK74&lt;-UMB_BAJO,"POR DEBAJO",IF(AK74&lt;-UMB_AJUSTADO,"AJUSTADO",IF(AK74&lt;=UMB_ALTO,"EN OBJETIVO","POR ENCIMA"))))))))</f>
        <v/>
      </c>
      <c r="AN74" s="44"/>
      <c r="AO74" s="44"/>
      <c r="AP74" s="46"/>
      <c r="AQ74" s="46"/>
      <c r="AR74" s="46"/>
      <c r="AS74" s="44"/>
      <c r="AT74" s="44"/>
      <c r="AU74" s="44"/>
      <c r="AV74" s="44"/>
      <c r="AW74" s="44"/>
      <c r="AX74" s="45"/>
      <c r="AY74" s="44"/>
      <c r="AZ74" s="56"/>
      <c r="BA74" s="45"/>
    </row>
    <row r="75" customFormat="false" ht="15" hidden="false" customHeight="false" outlineLevel="0" collapsed="false">
      <c r="A75" s="44"/>
      <c r="B75" s="44"/>
      <c r="C75" s="45"/>
      <c r="D75" s="45"/>
      <c r="E75" s="44"/>
      <c r="F75" s="44"/>
      <c r="G75" s="44"/>
      <c r="H75" s="44"/>
      <c r="I75" s="44"/>
      <c r="J75" s="44"/>
      <c r="K75" s="44"/>
      <c r="L75" s="44"/>
      <c r="M75" s="44"/>
      <c r="N75" s="44"/>
      <c r="O75" s="46"/>
      <c r="P75" s="44"/>
      <c r="Q75" s="46"/>
      <c r="R75" s="44"/>
      <c r="S75" s="45"/>
      <c r="T75" s="44"/>
      <c r="U75" s="44"/>
      <c r="V75" s="47"/>
      <c r="W75" s="48" t="str">
        <f aca="false">IF(V75="","",IFERROR(V75/O75,""))</f>
        <v/>
      </c>
      <c r="X75" s="44"/>
      <c r="Y75" s="46"/>
      <c r="Z75" s="49"/>
      <c r="AA75" s="44"/>
      <c r="AB75" s="50" t="str">
        <f aca="false">IFERROR(INDEX(TABLA_IVA!$C$3:$C$6,MATCH(AA75,TABLA_IVA!$A$3:$A$6,0)),"")</f>
        <v/>
      </c>
      <c r="AC75" s="47"/>
      <c r="AD75" s="44"/>
      <c r="AE75" s="51"/>
      <c r="AF75" s="52" t="str">
        <f aca="false">IF(OR(AC75="",AE75="",AB75=""),"",IFERROR(AC75/(1-AE75)*(1+AB75),""))</f>
        <v/>
      </c>
      <c r="AG75" s="47"/>
      <c r="AH75" s="52" t="str">
        <f aca="false">IF(AD75="FIJO",IF(AG75="","",AG75),IF(AF75&lt;&gt;"",AF75,IF(AG75="","",AG75)))</f>
        <v/>
      </c>
      <c r="AI75" s="52" t="str">
        <f aca="false">IF(OR(AH75="",AB75=""),"",IFERROR(AH75/(1+AB75),""))</f>
        <v/>
      </c>
      <c r="AJ75" s="50" t="str">
        <f aca="false">IF(OR(AI75="",AC75=""),"",IFERROR((AI75-AC75)/AI75,""))</f>
        <v/>
      </c>
      <c r="AK75" s="53" t="str">
        <f aca="false">IF(OR(AJ75="",AE75=""),"",AJ75-AE75)</f>
        <v/>
      </c>
      <c r="AL75" s="54" t="str">
        <f aca="false">IF(OR(AH75="",AF75=""),"",AH75-AF75)</f>
        <v/>
      </c>
      <c r="AM75" s="55" t="str">
        <f aca="false">IF(OR(A75="",K75&lt;&gt;"SI"),"",IF(AE75="","Sin objetivo",IF(AJ75="","Faltan datos",IF(AJ75&lt;0,"PÉRDIDA",IF(AK75&lt;-UMB_CRITICO,"MUY POR DEBAJO",IF(AK75&lt;-UMB_BAJO,"POR DEBAJO",IF(AK75&lt;-UMB_AJUSTADO,"AJUSTADO",IF(AK75&lt;=UMB_ALTO,"EN OBJETIVO","POR ENCIMA"))))))))</f>
        <v/>
      </c>
      <c r="AN75" s="44"/>
      <c r="AO75" s="44"/>
      <c r="AP75" s="46"/>
      <c r="AQ75" s="46"/>
      <c r="AR75" s="46"/>
      <c r="AS75" s="44"/>
      <c r="AT75" s="44"/>
      <c r="AU75" s="44"/>
      <c r="AV75" s="44"/>
      <c r="AW75" s="44"/>
      <c r="AX75" s="45"/>
      <c r="AY75" s="44"/>
      <c r="AZ75" s="56"/>
      <c r="BA75" s="45"/>
    </row>
    <row r="76" customFormat="false" ht="15" hidden="false" customHeight="false" outlineLevel="0" collapsed="false">
      <c r="A76" s="44"/>
      <c r="B76" s="44"/>
      <c r="C76" s="45"/>
      <c r="D76" s="45"/>
      <c r="E76" s="44"/>
      <c r="F76" s="44"/>
      <c r="G76" s="44"/>
      <c r="H76" s="44"/>
      <c r="I76" s="44"/>
      <c r="J76" s="44"/>
      <c r="K76" s="44"/>
      <c r="L76" s="44"/>
      <c r="M76" s="44"/>
      <c r="N76" s="44"/>
      <c r="O76" s="46"/>
      <c r="P76" s="44"/>
      <c r="Q76" s="46"/>
      <c r="R76" s="44"/>
      <c r="S76" s="45"/>
      <c r="T76" s="44"/>
      <c r="U76" s="44"/>
      <c r="V76" s="47"/>
      <c r="W76" s="48" t="str">
        <f aca="false">IF(V76="","",IFERROR(V76/O76,""))</f>
        <v/>
      </c>
      <c r="X76" s="44"/>
      <c r="Y76" s="46"/>
      <c r="Z76" s="49"/>
      <c r="AA76" s="44"/>
      <c r="AB76" s="50" t="str">
        <f aca="false">IFERROR(INDEX(TABLA_IVA!$C$3:$C$6,MATCH(AA76,TABLA_IVA!$A$3:$A$6,0)),"")</f>
        <v/>
      </c>
      <c r="AC76" s="47"/>
      <c r="AD76" s="44"/>
      <c r="AE76" s="51"/>
      <c r="AF76" s="52" t="str">
        <f aca="false">IF(OR(AC76="",AE76="",AB76=""),"",IFERROR(AC76/(1-AE76)*(1+AB76),""))</f>
        <v/>
      </c>
      <c r="AG76" s="47"/>
      <c r="AH76" s="52" t="str">
        <f aca="false">IF(AD76="FIJO",IF(AG76="","",AG76),IF(AF76&lt;&gt;"",AF76,IF(AG76="","",AG76)))</f>
        <v/>
      </c>
      <c r="AI76" s="52" t="str">
        <f aca="false">IF(OR(AH76="",AB76=""),"",IFERROR(AH76/(1+AB76),""))</f>
        <v/>
      </c>
      <c r="AJ76" s="50" t="str">
        <f aca="false">IF(OR(AI76="",AC76=""),"",IFERROR((AI76-AC76)/AI76,""))</f>
        <v/>
      </c>
      <c r="AK76" s="53" t="str">
        <f aca="false">IF(OR(AJ76="",AE76=""),"",AJ76-AE76)</f>
        <v/>
      </c>
      <c r="AL76" s="54" t="str">
        <f aca="false">IF(OR(AH76="",AF76=""),"",AH76-AF76)</f>
        <v/>
      </c>
      <c r="AM76" s="55" t="str">
        <f aca="false">IF(OR(A76="",K76&lt;&gt;"SI"),"",IF(AE76="","Sin objetivo",IF(AJ76="","Faltan datos",IF(AJ76&lt;0,"PÉRDIDA",IF(AK76&lt;-UMB_CRITICO,"MUY POR DEBAJO",IF(AK76&lt;-UMB_BAJO,"POR DEBAJO",IF(AK76&lt;-UMB_AJUSTADO,"AJUSTADO",IF(AK76&lt;=UMB_ALTO,"EN OBJETIVO","POR ENCIMA"))))))))</f>
        <v/>
      </c>
      <c r="AN76" s="44"/>
      <c r="AO76" s="44"/>
      <c r="AP76" s="46"/>
      <c r="AQ76" s="46"/>
      <c r="AR76" s="46"/>
      <c r="AS76" s="44"/>
      <c r="AT76" s="44"/>
      <c r="AU76" s="44"/>
      <c r="AV76" s="44"/>
      <c r="AW76" s="44"/>
      <c r="AX76" s="45"/>
      <c r="AY76" s="44"/>
      <c r="AZ76" s="56"/>
      <c r="BA76" s="45"/>
    </row>
    <row r="77" customFormat="false" ht="15" hidden="false" customHeight="false" outlineLevel="0" collapsed="false">
      <c r="A77" s="44"/>
      <c r="B77" s="44"/>
      <c r="C77" s="45"/>
      <c r="D77" s="45"/>
      <c r="E77" s="44"/>
      <c r="F77" s="44"/>
      <c r="G77" s="44"/>
      <c r="H77" s="44"/>
      <c r="I77" s="44"/>
      <c r="J77" s="44"/>
      <c r="K77" s="44"/>
      <c r="L77" s="44"/>
      <c r="M77" s="44"/>
      <c r="N77" s="44"/>
      <c r="O77" s="46"/>
      <c r="P77" s="44"/>
      <c r="Q77" s="46"/>
      <c r="R77" s="44"/>
      <c r="S77" s="45"/>
      <c r="T77" s="44"/>
      <c r="U77" s="44"/>
      <c r="V77" s="47"/>
      <c r="W77" s="48" t="str">
        <f aca="false">IF(V77="","",IFERROR(V77/O77,""))</f>
        <v/>
      </c>
      <c r="X77" s="44"/>
      <c r="Y77" s="46"/>
      <c r="Z77" s="49"/>
      <c r="AA77" s="44"/>
      <c r="AB77" s="50" t="str">
        <f aca="false">IFERROR(INDEX(TABLA_IVA!$C$3:$C$6,MATCH(AA77,TABLA_IVA!$A$3:$A$6,0)),"")</f>
        <v/>
      </c>
      <c r="AC77" s="47"/>
      <c r="AD77" s="44"/>
      <c r="AE77" s="51"/>
      <c r="AF77" s="52" t="str">
        <f aca="false">IF(OR(AC77="",AE77="",AB77=""),"",IFERROR(AC77/(1-AE77)*(1+AB77),""))</f>
        <v/>
      </c>
      <c r="AG77" s="47"/>
      <c r="AH77" s="52" t="str">
        <f aca="false">IF(AD77="FIJO",IF(AG77="","",AG77),IF(AF77&lt;&gt;"",AF77,IF(AG77="","",AG77)))</f>
        <v/>
      </c>
      <c r="AI77" s="52" t="str">
        <f aca="false">IF(OR(AH77="",AB77=""),"",IFERROR(AH77/(1+AB77),""))</f>
        <v/>
      </c>
      <c r="AJ77" s="50" t="str">
        <f aca="false">IF(OR(AI77="",AC77=""),"",IFERROR((AI77-AC77)/AI77,""))</f>
        <v/>
      </c>
      <c r="AK77" s="53" t="str">
        <f aca="false">IF(OR(AJ77="",AE77=""),"",AJ77-AE77)</f>
        <v/>
      </c>
      <c r="AL77" s="54" t="str">
        <f aca="false">IF(OR(AH77="",AF77=""),"",AH77-AF77)</f>
        <v/>
      </c>
      <c r="AM77" s="55" t="str">
        <f aca="false">IF(OR(A77="",K77&lt;&gt;"SI"),"",IF(AE77="","Sin objetivo",IF(AJ77="","Faltan datos",IF(AJ77&lt;0,"PÉRDIDA",IF(AK77&lt;-UMB_CRITICO,"MUY POR DEBAJO",IF(AK77&lt;-UMB_BAJO,"POR DEBAJO",IF(AK77&lt;-UMB_AJUSTADO,"AJUSTADO",IF(AK77&lt;=UMB_ALTO,"EN OBJETIVO","POR ENCIMA"))))))))</f>
        <v/>
      </c>
      <c r="AN77" s="44"/>
      <c r="AO77" s="44"/>
      <c r="AP77" s="46"/>
      <c r="AQ77" s="46"/>
      <c r="AR77" s="46"/>
      <c r="AS77" s="44"/>
      <c r="AT77" s="44"/>
      <c r="AU77" s="44"/>
      <c r="AV77" s="44"/>
      <c r="AW77" s="44"/>
      <c r="AX77" s="45"/>
      <c r="AY77" s="44"/>
      <c r="AZ77" s="56"/>
      <c r="BA77" s="45"/>
    </row>
    <row r="78" customFormat="false" ht="15" hidden="false" customHeight="false" outlineLevel="0" collapsed="false">
      <c r="A78" s="44"/>
      <c r="B78" s="44"/>
      <c r="C78" s="45"/>
      <c r="D78" s="45"/>
      <c r="E78" s="44"/>
      <c r="F78" s="44"/>
      <c r="G78" s="44"/>
      <c r="H78" s="44"/>
      <c r="I78" s="44"/>
      <c r="J78" s="44"/>
      <c r="K78" s="44"/>
      <c r="L78" s="44"/>
      <c r="M78" s="44"/>
      <c r="N78" s="44"/>
      <c r="O78" s="46"/>
      <c r="P78" s="44"/>
      <c r="Q78" s="46"/>
      <c r="R78" s="44"/>
      <c r="S78" s="45"/>
      <c r="T78" s="44"/>
      <c r="U78" s="44"/>
      <c r="V78" s="47"/>
      <c r="W78" s="48" t="str">
        <f aca="false">IF(V78="","",IFERROR(V78/O78,""))</f>
        <v/>
      </c>
      <c r="X78" s="44"/>
      <c r="Y78" s="46"/>
      <c r="Z78" s="49"/>
      <c r="AA78" s="44"/>
      <c r="AB78" s="50" t="str">
        <f aca="false">IFERROR(INDEX(TABLA_IVA!$C$3:$C$6,MATCH(AA78,TABLA_IVA!$A$3:$A$6,0)),"")</f>
        <v/>
      </c>
      <c r="AC78" s="47"/>
      <c r="AD78" s="44"/>
      <c r="AE78" s="51"/>
      <c r="AF78" s="52" t="str">
        <f aca="false">IF(OR(AC78="",AE78="",AB78=""),"",IFERROR(AC78/(1-AE78)*(1+AB78),""))</f>
        <v/>
      </c>
      <c r="AG78" s="47"/>
      <c r="AH78" s="52" t="str">
        <f aca="false">IF(AD78="FIJO",IF(AG78="","",AG78),IF(AF78&lt;&gt;"",AF78,IF(AG78="","",AG78)))</f>
        <v/>
      </c>
      <c r="AI78" s="52" t="str">
        <f aca="false">IF(OR(AH78="",AB78=""),"",IFERROR(AH78/(1+AB78),""))</f>
        <v/>
      </c>
      <c r="AJ78" s="50" t="str">
        <f aca="false">IF(OR(AI78="",AC78=""),"",IFERROR((AI78-AC78)/AI78,""))</f>
        <v/>
      </c>
      <c r="AK78" s="53" t="str">
        <f aca="false">IF(OR(AJ78="",AE78=""),"",AJ78-AE78)</f>
        <v/>
      </c>
      <c r="AL78" s="54" t="str">
        <f aca="false">IF(OR(AH78="",AF78=""),"",AH78-AF78)</f>
        <v/>
      </c>
      <c r="AM78" s="55" t="str">
        <f aca="false">IF(OR(A78="",K78&lt;&gt;"SI"),"",IF(AE78="","Sin objetivo",IF(AJ78="","Faltan datos",IF(AJ78&lt;0,"PÉRDIDA",IF(AK78&lt;-UMB_CRITICO,"MUY POR DEBAJO",IF(AK78&lt;-UMB_BAJO,"POR DEBAJO",IF(AK78&lt;-UMB_AJUSTADO,"AJUSTADO",IF(AK78&lt;=UMB_ALTO,"EN OBJETIVO","POR ENCIMA"))))))))</f>
        <v/>
      </c>
      <c r="AN78" s="44"/>
      <c r="AO78" s="44"/>
      <c r="AP78" s="46"/>
      <c r="AQ78" s="46"/>
      <c r="AR78" s="46"/>
      <c r="AS78" s="44"/>
      <c r="AT78" s="44"/>
      <c r="AU78" s="44"/>
      <c r="AV78" s="44"/>
      <c r="AW78" s="44"/>
      <c r="AX78" s="45"/>
      <c r="AY78" s="44"/>
      <c r="AZ78" s="56"/>
      <c r="BA78" s="45"/>
    </row>
    <row r="79" customFormat="false" ht="15" hidden="false" customHeight="false" outlineLevel="0" collapsed="false">
      <c r="A79" s="44"/>
      <c r="B79" s="44"/>
      <c r="C79" s="45"/>
      <c r="D79" s="45"/>
      <c r="E79" s="44"/>
      <c r="F79" s="44"/>
      <c r="G79" s="44"/>
      <c r="H79" s="44"/>
      <c r="I79" s="44"/>
      <c r="J79" s="44"/>
      <c r="K79" s="44"/>
      <c r="L79" s="44"/>
      <c r="M79" s="44"/>
      <c r="N79" s="44"/>
      <c r="O79" s="46"/>
      <c r="P79" s="44"/>
      <c r="Q79" s="46"/>
      <c r="R79" s="44"/>
      <c r="S79" s="45"/>
      <c r="T79" s="44"/>
      <c r="U79" s="44"/>
      <c r="V79" s="47"/>
      <c r="W79" s="48" t="str">
        <f aca="false">IF(V79="","",IFERROR(V79/O79,""))</f>
        <v/>
      </c>
      <c r="X79" s="44"/>
      <c r="Y79" s="46"/>
      <c r="Z79" s="49"/>
      <c r="AA79" s="44"/>
      <c r="AB79" s="50" t="str">
        <f aca="false">IFERROR(INDEX(TABLA_IVA!$C$3:$C$6,MATCH(AA79,TABLA_IVA!$A$3:$A$6,0)),"")</f>
        <v/>
      </c>
      <c r="AC79" s="47"/>
      <c r="AD79" s="44"/>
      <c r="AE79" s="51"/>
      <c r="AF79" s="52" t="str">
        <f aca="false">IF(OR(AC79="",AE79="",AB79=""),"",IFERROR(AC79/(1-AE79)*(1+AB79),""))</f>
        <v/>
      </c>
      <c r="AG79" s="47"/>
      <c r="AH79" s="52" t="str">
        <f aca="false">IF(AD79="FIJO",IF(AG79="","",AG79),IF(AF79&lt;&gt;"",AF79,IF(AG79="","",AG79)))</f>
        <v/>
      </c>
      <c r="AI79" s="52" t="str">
        <f aca="false">IF(OR(AH79="",AB79=""),"",IFERROR(AH79/(1+AB79),""))</f>
        <v/>
      </c>
      <c r="AJ79" s="50" t="str">
        <f aca="false">IF(OR(AI79="",AC79=""),"",IFERROR((AI79-AC79)/AI79,""))</f>
        <v/>
      </c>
      <c r="AK79" s="53" t="str">
        <f aca="false">IF(OR(AJ79="",AE79=""),"",AJ79-AE79)</f>
        <v/>
      </c>
      <c r="AL79" s="54" t="str">
        <f aca="false">IF(OR(AH79="",AF79=""),"",AH79-AF79)</f>
        <v/>
      </c>
      <c r="AM79" s="55" t="str">
        <f aca="false">IF(OR(A79="",K79&lt;&gt;"SI"),"",IF(AE79="","Sin objetivo",IF(AJ79="","Faltan datos",IF(AJ79&lt;0,"PÉRDIDA",IF(AK79&lt;-UMB_CRITICO,"MUY POR DEBAJO",IF(AK79&lt;-UMB_BAJO,"POR DEBAJO",IF(AK79&lt;-UMB_AJUSTADO,"AJUSTADO",IF(AK79&lt;=UMB_ALTO,"EN OBJETIVO","POR ENCIMA"))))))))</f>
        <v/>
      </c>
      <c r="AN79" s="44"/>
      <c r="AO79" s="44"/>
      <c r="AP79" s="46"/>
      <c r="AQ79" s="46"/>
      <c r="AR79" s="46"/>
      <c r="AS79" s="44"/>
      <c r="AT79" s="44"/>
      <c r="AU79" s="44"/>
      <c r="AV79" s="44"/>
      <c r="AW79" s="44"/>
      <c r="AX79" s="45"/>
      <c r="AY79" s="44"/>
      <c r="AZ79" s="56"/>
      <c r="BA79" s="45"/>
    </row>
    <row r="80" customFormat="false" ht="15" hidden="false" customHeight="false" outlineLevel="0" collapsed="false">
      <c r="A80" s="44"/>
      <c r="B80" s="44"/>
      <c r="C80" s="45"/>
      <c r="D80" s="45"/>
      <c r="E80" s="44"/>
      <c r="F80" s="44"/>
      <c r="G80" s="44"/>
      <c r="H80" s="44"/>
      <c r="I80" s="44"/>
      <c r="J80" s="44"/>
      <c r="K80" s="44"/>
      <c r="L80" s="44"/>
      <c r="M80" s="44"/>
      <c r="N80" s="44"/>
      <c r="O80" s="46"/>
      <c r="P80" s="44"/>
      <c r="Q80" s="46"/>
      <c r="R80" s="44"/>
      <c r="S80" s="45"/>
      <c r="T80" s="44"/>
      <c r="U80" s="44"/>
      <c r="V80" s="47"/>
      <c r="W80" s="48" t="str">
        <f aca="false">IF(V80="","",IFERROR(V80/O80,""))</f>
        <v/>
      </c>
      <c r="X80" s="44"/>
      <c r="Y80" s="46"/>
      <c r="Z80" s="49"/>
      <c r="AA80" s="44"/>
      <c r="AB80" s="50" t="str">
        <f aca="false">IFERROR(INDEX(TABLA_IVA!$C$3:$C$6,MATCH(AA80,TABLA_IVA!$A$3:$A$6,0)),"")</f>
        <v/>
      </c>
      <c r="AC80" s="47"/>
      <c r="AD80" s="44"/>
      <c r="AE80" s="51"/>
      <c r="AF80" s="52" t="str">
        <f aca="false">IF(OR(AC80="",AE80="",AB80=""),"",IFERROR(AC80/(1-AE80)*(1+AB80),""))</f>
        <v/>
      </c>
      <c r="AG80" s="47"/>
      <c r="AH80" s="52" t="str">
        <f aca="false">IF(AD80="FIJO",IF(AG80="","",AG80),IF(AF80&lt;&gt;"",AF80,IF(AG80="","",AG80)))</f>
        <v/>
      </c>
      <c r="AI80" s="52" t="str">
        <f aca="false">IF(OR(AH80="",AB80=""),"",IFERROR(AH80/(1+AB80),""))</f>
        <v/>
      </c>
      <c r="AJ80" s="50" t="str">
        <f aca="false">IF(OR(AI80="",AC80=""),"",IFERROR((AI80-AC80)/AI80,""))</f>
        <v/>
      </c>
      <c r="AK80" s="53" t="str">
        <f aca="false">IF(OR(AJ80="",AE80=""),"",AJ80-AE80)</f>
        <v/>
      </c>
      <c r="AL80" s="54" t="str">
        <f aca="false">IF(OR(AH80="",AF80=""),"",AH80-AF80)</f>
        <v/>
      </c>
      <c r="AM80" s="55" t="str">
        <f aca="false">IF(OR(A80="",K80&lt;&gt;"SI"),"",IF(AE80="","Sin objetivo",IF(AJ80="","Faltan datos",IF(AJ80&lt;0,"PÉRDIDA",IF(AK80&lt;-UMB_CRITICO,"MUY POR DEBAJO",IF(AK80&lt;-UMB_BAJO,"POR DEBAJO",IF(AK80&lt;-UMB_AJUSTADO,"AJUSTADO",IF(AK80&lt;=UMB_ALTO,"EN OBJETIVO","POR ENCIMA"))))))))</f>
        <v/>
      </c>
      <c r="AN80" s="44"/>
      <c r="AO80" s="44"/>
      <c r="AP80" s="46"/>
      <c r="AQ80" s="46"/>
      <c r="AR80" s="46"/>
      <c r="AS80" s="44"/>
      <c r="AT80" s="44"/>
      <c r="AU80" s="44"/>
      <c r="AV80" s="44"/>
      <c r="AW80" s="44"/>
      <c r="AX80" s="45"/>
      <c r="AY80" s="44"/>
      <c r="AZ80" s="56"/>
      <c r="BA80" s="45"/>
    </row>
    <row r="81" customFormat="false" ht="15" hidden="false" customHeight="false" outlineLevel="0" collapsed="false">
      <c r="A81" s="44"/>
      <c r="B81" s="44"/>
      <c r="C81" s="45"/>
      <c r="D81" s="45"/>
      <c r="E81" s="44"/>
      <c r="F81" s="44"/>
      <c r="G81" s="44"/>
      <c r="H81" s="44"/>
      <c r="I81" s="44"/>
      <c r="J81" s="44"/>
      <c r="K81" s="44"/>
      <c r="L81" s="44"/>
      <c r="M81" s="44"/>
      <c r="N81" s="44"/>
      <c r="O81" s="46"/>
      <c r="P81" s="44"/>
      <c r="Q81" s="46"/>
      <c r="R81" s="44"/>
      <c r="S81" s="45"/>
      <c r="T81" s="44"/>
      <c r="U81" s="44"/>
      <c r="V81" s="47"/>
      <c r="W81" s="48" t="str">
        <f aca="false">IF(V81="","",IFERROR(V81/O81,""))</f>
        <v/>
      </c>
      <c r="X81" s="44"/>
      <c r="Y81" s="46"/>
      <c r="Z81" s="49"/>
      <c r="AA81" s="44"/>
      <c r="AB81" s="50" t="str">
        <f aca="false">IFERROR(INDEX(TABLA_IVA!$C$3:$C$6,MATCH(AA81,TABLA_IVA!$A$3:$A$6,0)),"")</f>
        <v/>
      </c>
      <c r="AC81" s="47"/>
      <c r="AD81" s="44"/>
      <c r="AE81" s="51"/>
      <c r="AF81" s="52" t="str">
        <f aca="false">IF(OR(AC81="",AE81="",AB81=""),"",IFERROR(AC81/(1-AE81)*(1+AB81),""))</f>
        <v/>
      </c>
      <c r="AG81" s="47"/>
      <c r="AH81" s="52" t="str">
        <f aca="false">IF(AD81="FIJO",IF(AG81="","",AG81),IF(AF81&lt;&gt;"",AF81,IF(AG81="","",AG81)))</f>
        <v/>
      </c>
      <c r="AI81" s="52" t="str">
        <f aca="false">IF(OR(AH81="",AB81=""),"",IFERROR(AH81/(1+AB81),""))</f>
        <v/>
      </c>
      <c r="AJ81" s="50" t="str">
        <f aca="false">IF(OR(AI81="",AC81=""),"",IFERROR((AI81-AC81)/AI81,""))</f>
        <v/>
      </c>
      <c r="AK81" s="53" t="str">
        <f aca="false">IF(OR(AJ81="",AE81=""),"",AJ81-AE81)</f>
        <v/>
      </c>
      <c r="AL81" s="54" t="str">
        <f aca="false">IF(OR(AH81="",AF81=""),"",AH81-AF81)</f>
        <v/>
      </c>
      <c r="AM81" s="55" t="str">
        <f aca="false">IF(OR(A81="",K81&lt;&gt;"SI"),"",IF(AE81="","Sin objetivo",IF(AJ81="","Faltan datos",IF(AJ81&lt;0,"PÉRDIDA",IF(AK81&lt;-UMB_CRITICO,"MUY POR DEBAJO",IF(AK81&lt;-UMB_BAJO,"POR DEBAJO",IF(AK81&lt;-UMB_AJUSTADO,"AJUSTADO",IF(AK81&lt;=UMB_ALTO,"EN OBJETIVO","POR ENCIMA"))))))))</f>
        <v/>
      </c>
      <c r="AN81" s="44"/>
      <c r="AO81" s="44"/>
      <c r="AP81" s="46"/>
      <c r="AQ81" s="46"/>
      <c r="AR81" s="46"/>
      <c r="AS81" s="44"/>
      <c r="AT81" s="44"/>
      <c r="AU81" s="44"/>
      <c r="AV81" s="44"/>
      <c r="AW81" s="44"/>
      <c r="AX81" s="45"/>
      <c r="AY81" s="44"/>
      <c r="AZ81" s="56"/>
      <c r="BA81" s="45"/>
    </row>
    <row r="82" customFormat="false" ht="15" hidden="false" customHeight="false" outlineLevel="0" collapsed="false">
      <c r="A82" s="44"/>
      <c r="B82" s="44"/>
      <c r="C82" s="45"/>
      <c r="D82" s="45"/>
      <c r="E82" s="44"/>
      <c r="F82" s="44"/>
      <c r="G82" s="44"/>
      <c r="H82" s="44"/>
      <c r="I82" s="44"/>
      <c r="J82" s="44"/>
      <c r="K82" s="44"/>
      <c r="L82" s="44"/>
      <c r="M82" s="44"/>
      <c r="N82" s="44"/>
      <c r="O82" s="46"/>
      <c r="P82" s="44"/>
      <c r="Q82" s="46"/>
      <c r="R82" s="44"/>
      <c r="S82" s="45"/>
      <c r="T82" s="44"/>
      <c r="U82" s="44"/>
      <c r="V82" s="47"/>
      <c r="W82" s="48" t="str">
        <f aca="false">IF(V82="","",IFERROR(V82/O82,""))</f>
        <v/>
      </c>
      <c r="X82" s="44"/>
      <c r="Y82" s="46"/>
      <c r="Z82" s="49"/>
      <c r="AA82" s="44"/>
      <c r="AB82" s="50" t="str">
        <f aca="false">IFERROR(INDEX(TABLA_IVA!$C$3:$C$6,MATCH(AA82,TABLA_IVA!$A$3:$A$6,0)),"")</f>
        <v/>
      </c>
      <c r="AC82" s="47"/>
      <c r="AD82" s="44"/>
      <c r="AE82" s="51"/>
      <c r="AF82" s="52" t="str">
        <f aca="false">IF(OR(AC82="",AE82="",AB82=""),"",IFERROR(AC82/(1-AE82)*(1+AB82),""))</f>
        <v/>
      </c>
      <c r="AG82" s="47"/>
      <c r="AH82" s="52" t="str">
        <f aca="false">IF(AD82="FIJO",IF(AG82="","",AG82),IF(AF82&lt;&gt;"",AF82,IF(AG82="","",AG82)))</f>
        <v/>
      </c>
      <c r="AI82" s="52" t="str">
        <f aca="false">IF(OR(AH82="",AB82=""),"",IFERROR(AH82/(1+AB82),""))</f>
        <v/>
      </c>
      <c r="AJ82" s="50" t="str">
        <f aca="false">IF(OR(AI82="",AC82=""),"",IFERROR((AI82-AC82)/AI82,""))</f>
        <v/>
      </c>
      <c r="AK82" s="53" t="str">
        <f aca="false">IF(OR(AJ82="",AE82=""),"",AJ82-AE82)</f>
        <v/>
      </c>
      <c r="AL82" s="54" t="str">
        <f aca="false">IF(OR(AH82="",AF82=""),"",AH82-AF82)</f>
        <v/>
      </c>
      <c r="AM82" s="55" t="str">
        <f aca="false">IF(OR(A82="",K82&lt;&gt;"SI"),"",IF(AE82="","Sin objetivo",IF(AJ82="","Faltan datos",IF(AJ82&lt;0,"PÉRDIDA",IF(AK82&lt;-UMB_CRITICO,"MUY POR DEBAJO",IF(AK82&lt;-UMB_BAJO,"POR DEBAJO",IF(AK82&lt;-UMB_AJUSTADO,"AJUSTADO",IF(AK82&lt;=UMB_ALTO,"EN OBJETIVO","POR ENCIMA"))))))))</f>
        <v/>
      </c>
      <c r="AN82" s="44"/>
      <c r="AO82" s="44"/>
      <c r="AP82" s="46"/>
      <c r="AQ82" s="46"/>
      <c r="AR82" s="46"/>
      <c r="AS82" s="44"/>
      <c r="AT82" s="44"/>
      <c r="AU82" s="44"/>
      <c r="AV82" s="44"/>
      <c r="AW82" s="44"/>
      <c r="AX82" s="45"/>
      <c r="AY82" s="44"/>
      <c r="AZ82" s="56"/>
      <c r="BA82" s="45"/>
    </row>
    <row r="83" customFormat="false" ht="15" hidden="false" customHeight="false" outlineLevel="0" collapsed="false">
      <c r="A83" s="44"/>
      <c r="B83" s="44"/>
      <c r="C83" s="45"/>
      <c r="D83" s="45"/>
      <c r="E83" s="44"/>
      <c r="F83" s="44"/>
      <c r="G83" s="44"/>
      <c r="H83" s="44"/>
      <c r="I83" s="44"/>
      <c r="J83" s="44"/>
      <c r="K83" s="44"/>
      <c r="L83" s="44"/>
      <c r="M83" s="44"/>
      <c r="N83" s="44"/>
      <c r="O83" s="46"/>
      <c r="P83" s="44"/>
      <c r="Q83" s="46"/>
      <c r="R83" s="44"/>
      <c r="S83" s="45"/>
      <c r="T83" s="44"/>
      <c r="U83" s="44"/>
      <c r="V83" s="47"/>
      <c r="W83" s="48" t="str">
        <f aca="false">IF(V83="","",IFERROR(V83/O83,""))</f>
        <v/>
      </c>
      <c r="X83" s="44"/>
      <c r="Y83" s="46"/>
      <c r="Z83" s="49"/>
      <c r="AA83" s="44"/>
      <c r="AB83" s="50" t="str">
        <f aca="false">IFERROR(INDEX(TABLA_IVA!$C$3:$C$6,MATCH(AA83,TABLA_IVA!$A$3:$A$6,0)),"")</f>
        <v/>
      </c>
      <c r="AC83" s="47"/>
      <c r="AD83" s="44"/>
      <c r="AE83" s="51"/>
      <c r="AF83" s="52" t="str">
        <f aca="false">IF(OR(AC83="",AE83="",AB83=""),"",IFERROR(AC83/(1-AE83)*(1+AB83),""))</f>
        <v/>
      </c>
      <c r="AG83" s="47"/>
      <c r="AH83" s="52" t="str">
        <f aca="false">IF(AD83="FIJO",IF(AG83="","",AG83),IF(AF83&lt;&gt;"",AF83,IF(AG83="","",AG83)))</f>
        <v/>
      </c>
      <c r="AI83" s="52" t="str">
        <f aca="false">IF(OR(AH83="",AB83=""),"",IFERROR(AH83/(1+AB83),""))</f>
        <v/>
      </c>
      <c r="AJ83" s="50" t="str">
        <f aca="false">IF(OR(AI83="",AC83=""),"",IFERROR((AI83-AC83)/AI83,""))</f>
        <v/>
      </c>
      <c r="AK83" s="53" t="str">
        <f aca="false">IF(OR(AJ83="",AE83=""),"",AJ83-AE83)</f>
        <v/>
      </c>
      <c r="AL83" s="54" t="str">
        <f aca="false">IF(OR(AH83="",AF83=""),"",AH83-AF83)</f>
        <v/>
      </c>
      <c r="AM83" s="55" t="str">
        <f aca="false">IF(OR(A83="",K83&lt;&gt;"SI"),"",IF(AE83="","Sin objetivo",IF(AJ83="","Faltan datos",IF(AJ83&lt;0,"PÉRDIDA",IF(AK83&lt;-UMB_CRITICO,"MUY POR DEBAJO",IF(AK83&lt;-UMB_BAJO,"POR DEBAJO",IF(AK83&lt;-UMB_AJUSTADO,"AJUSTADO",IF(AK83&lt;=UMB_ALTO,"EN OBJETIVO","POR ENCIMA"))))))))</f>
        <v/>
      </c>
      <c r="AN83" s="44"/>
      <c r="AO83" s="44"/>
      <c r="AP83" s="46"/>
      <c r="AQ83" s="46"/>
      <c r="AR83" s="46"/>
      <c r="AS83" s="44"/>
      <c r="AT83" s="44"/>
      <c r="AU83" s="44"/>
      <c r="AV83" s="44"/>
      <c r="AW83" s="44"/>
      <c r="AX83" s="45"/>
      <c r="AY83" s="44"/>
      <c r="AZ83" s="56"/>
      <c r="BA83" s="45"/>
    </row>
    <row r="84" customFormat="false" ht="15" hidden="false" customHeight="false" outlineLevel="0" collapsed="false">
      <c r="A84" s="44"/>
      <c r="B84" s="44"/>
      <c r="C84" s="45"/>
      <c r="D84" s="45"/>
      <c r="E84" s="44"/>
      <c r="F84" s="44"/>
      <c r="G84" s="44"/>
      <c r="H84" s="44"/>
      <c r="I84" s="44"/>
      <c r="J84" s="44"/>
      <c r="K84" s="44"/>
      <c r="L84" s="44"/>
      <c r="M84" s="44"/>
      <c r="N84" s="44"/>
      <c r="O84" s="46"/>
      <c r="P84" s="44"/>
      <c r="Q84" s="46"/>
      <c r="R84" s="44"/>
      <c r="S84" s="45"/>
      <c r="T84" s="44"/>
      <c r="U84" s="44"/>
      <c r="V84" s="47"/>
      <c r="W84" s="48" t="str">
        <f aca="false">IF(V84="","",IFERROR(V84/O84,""))</f>
        <v/>
      </c>
      <c r="X84" s="44"/>
      <c r="Y84" s="46"/>
      <c r="Z84" s="49"/>
      <c r="AA84" s="44"/>
      <c r="AB84" s="50" t="str">
        <f aca="false">IFERROR(INDEX(TABLA_IVA!$C$3:$C$6,MATCH(AA84,TABLA_IVA!$A$3:$A$6,0)),"")</f>
        <v/>
      </c>
      <c r="AC84" s="47"/>
      <c r="AD84" s="44"/>
      <c r="AE84" s="51"/>
      <c r="AF84" s="52" t="str">
        <f aca="false">IF(OR(AC84="",AE84="",AB84=""),"",IFERROR(AC84/(1-AE84)*(1+AB84),""))</f>
        <v/>
      </c>
      <c r="AG84" s="47"/>
      <c r="AH84" s="52" t="str">
        <f aca="false">IF(AD84="FIJO",IF(AG84="","",AG84),IF(AF84&lt;&gt;"",AF84,IF(AG84="","",AG84)))</f>
        <v/>
      </c>
      <c r="AI84" s="52" t="str">
        <f aca="false">IF(OR(AH84="",AB84=""),"",IFERROR(AH84/(1+AB84),""))</f>
        <v/>
      </c>
      <c r="AJ84" s="50" t="str">
        <f aca="false">IF(OR(AI84="",AC84=""),"",IFERROR((AI84-AC84)/AI84,""))</f>
        <v/>
      </c>
      <c r="AK84" s="53" t="str">
        <f aca="false">IF(OR(AJ84="",AE84=""),"",AJ84-AE84)</f>
        <v/>
      </c>
      <c r="AL84" s="54" t="str">
        <f aca="false">IF(OR(AH84="",AF84=""),"",AH84-AF84)</f>
        <v/>
      </c>
      <c r="AM84" s="55" t="str">
        <f aca="false">IF(OR(A84="",K84&lt;&gt;"SI"),"",IF(AE84="","Sin objetivo",IF(AJ84="","Faltan datos",IF(AJ84&lt;0,"PÉRDIDA",IF(AK84&lt;-UMB_CRITICO,"MUY POR DEBAJO",IF(AK84&lt;-UMB_BAJO,"POR DEBAJO",IF(AK84&lt;-UMB_AJUSTADO,"AJUSTADO",IF(AK84&lt;=UMB_ALTO,"EN OBJETIVO","POR ENCIMA"))))))))</f>
        <v/>
      </c>
      <c r="AN84" s="44"/>
      <c r="AO84" s="44"/>
      <c r="AP84" s="46"/>
      <c r="AQ84" s="46"/>
      <c r="AR84" s="46"/>
      <c r="AS84" s="44"/>
      <c r="AT84" s="44"/>
      <c r="AU84" s="44"/>
      <c r="AV84" s="44"/>
      <c r="AW84" s="44"/>
      <c r="AX84" s="45"/>
      <c r="AY84" s="44"/>
      <c r="AZ84" s="56"/>
      <c r="BA84" s="45"/>
    </row>
    <row r="85" customFormat="false" ht="15" hidden="false" customHeight="false" outlineLevel="0" collapsed="false">
      <c r="A85" s="44"/>
      <c r="B85" s="44"/>
      <c r="C85" s="45"/>
      <c r="D85" s="45"/>
      <c r="E85" s="44"/>
      <c r="F85" s="44"/>
      <c r="G85" s="44"/>
      <c r="H85" s="44"/>
      <c r="I85" s="44"/>
      <c r="J85" s="44"/>
      <c r="K85" s="44"/>
      <c r="L85" s="44"/>
      <c r="M85" s="44"/>
      <c r="N85" s="44"/>
      <c r="O85" s="46"/>
      <c r="P85" s="44"/>
      <c r="Q85" s="46"/>
      <c r="R85" s="44"/>
      <c r="S85" s="45"/>
      <c r="T85" s="44"/>
      <c r="U85" s="44"/>
      <c r="V85" s="47"/>
      <c r="W85" s="48" t="str">
        <f aca="false">IF(V85="","",IFERROR(V85/O85,""))</f>
        <v/>
      </c>
      <c r="X85" s="44"/>
      <c r="Y85" s="46"/>
      <c r="Z85" s="49"/>
      <c r="AA85" s="44"/>
      <c r="AB85" s="50" t="str">
        <f aca="false">IFERROR(INDEX(TABLA_IVA!$C$3:$C$6,MATCH(AA85,TABLA_IVA!$A$3:$A$6,0)),"")</f>
        <v/>
      </c>
      <c r="AC85" s="47"/>
      <c r="AD85" s="44"/>
      <c r="AE85" s="51"/>
      <c r="AF85" s="52" t="str">
        <f aca="false">IF(OR(AC85="",AE85="",AB85=""),"",IFERROR(AC85/(1-AE85)*(1+AB85),""))</f>
        <v/>
      </c>
      <c r="AG85" s="47"/>
      <c r="AH85" s="52" t="str">
        <f aca="false">IF(AD85="FIJO",IF(AG85="","",AG85),IF(AF85&lt;&gt;"",AF85,IF(AG85="","",AG85)))</f>
        <v/>
      </c>
      <c r="AI85" s="52" t="str">
        <f aca="false">IF(OR(AH85="",AB85=""),"",IFERROR(AH85/(1+AB85),""))</f>
        <v/>
      </c>
      <c r="AJ85" s="50" t="str">
        <f aca="false">IF(OR(AI85="",AC85=""),"",IFERROR((AI85-AC85)/AI85,""))</f>
        <v/>
      </c>
      <c r="AK85" s="53" t="str">
        <f aca="false">IF(OR(AJ85="",AE85=""),"",AJ85-AE85)</f>
        <v/>
      </c>
      <c r="AL85" s="54" t="str">
        <f aca="false">IF(OR(AH85="",AF85=""),"",AH85-AF85)</f>
        <v/>
      </c>
      <c r="AM85" s="55" t="str">
        <f aca="false">IF(OR(A85="",K85&lt;&gt;"SI"),"",IF(AE85="","Sin objetivo",IF(AJ85="","Faltan datos",IF(AJ85&lt;0,"PÉRDIDA",IF(AK85&lt;-UMB_CRITICO,"MUY POR DEBAJO",IF(AK85&lt;-UMB_BAJO,"POR DEBAJO",IF(AK85&lt;-UMB_AJUSTADO,"AJUSTADO",IF(AK85&lt;=UMB_ALTO,"EN OBJETIVO","POR ENCIMA"))))))))</f>
        <v/>
      </c>
      <c r="AN85" s="44"/>
      <c r="AO85" s="44"/>
      <c r="AP85" s="46"/>
      <c r="AQ85" s="46"/>
      <c r="AR85" s="46"/>
      <c r="AS85" s="44"/>
      <c r="AT85" s="44"/>
      <c r="AU85" s="44"/>
      <c r="AV85" s="44"/>
      <c r="AW85" s="44"/>
      <c r="AX85" s="45"/>
      <c r="AY85" s="44"/>
      <c r="AZ85" s="56"/>
      <c r="BA85" s="45"/>
    </row>
    <row r="86" customFormat="false" ht="15" hidden="false" customHeight="false" outlineLevel="0" collapsed="false">
      <c r="A86" s="44"/>
      <c r="B86" s="44"/>
      <c r="C86" s="45"/>
      <c r="D86" s="45"/>
      <c r="E86" s="44"/>
      <c r="F86" s="44"/>
      <c r="G86" s="44"/>
      <c r="H86" s="44"/>
      <c r="I86" s="44"/>
      <c r="J86" s="44"/>
      <c r="K86" s="44"/>
      <c r="L86" s="44"/>
      <c r="M86" s="44"/>
      <c r="N86" s="44"/>
      <c r="O86" s="46"/>
      <c r="P86" s="44"/>
      <c r="Q86" s="46"/>
      <c r="R86" s="44"/>
      <c r="S86" s="45"/>
      <c r="T86" s="44"/>
      <c r="U86" s="44"/>
      <c r="V86" s="47"/>
      <c r="W86" s="48" t="str">
        <f aca="false">IF(V86="","",IFERROR(V86/O86,""))</f>
        <v/>
      </c>
      <c r="X86" s="44"/>
      <c r="Y86" s="46"/>
      <c r="Z86" s="49"/>
      <c r="AA86" s="44"/>
      <c r="AB86" s="50" t="str">
        <f aca="false">IFERROR(INDEX(TABLA_IVA!$C$3:$C$6,MATCH(AA86,TABLA_IVA!$A$3:$A$6,0)),"")</f>
        <v/>
      </c>
      <c r="AC86" s="47"/>
      <c r="AD86" s="44"/>
      <c r="AE86" s="51"/>
      <c r="AF86" s="52" t="str">
        <f aca="false">IF(OR(AC86="",AE86="",AB86=""),"",IFERROR(AC86/(1-AE86)*(1+AB86),""))</f>
        <v/>
      </c>
      <c r="AG86" s="47"/>
      <c r="AH86" s="52" t="str">
        <f aca="false">IF(AD86="FIJO",IF(AG86="","",AG86),IF(AF86&lt;&gt;"",AF86,IF(AG86="","",AG86)))</f>
        <v/>
      </c>
      <c r="AI86" s="52" t="str">
        <f aca="false">IF(OR(AH86="",AB86=""),"",IFERROR(AH86/(1+AB86),""))</f>
        <v/>
      </c>
      <c r="AJ86" s="50" t="str">
        <f aca="false">IF(OR(AI86="",AC86=""),"",IFERROR((AI86-AC86)/AI86,""))</f>
        <v/>
      </c>
      <c r="AK86" s="53" t="str">
        <f aca="false">IF(OR(AJ86="",AE86=""),"",AJ86-AE86)</f>
        <v/>
      </c>
      <c r="AL86" s="54" t="str">
        <f aca="false">IF(OR(AH86="",AF86=""),"",AH86-AF86)</f>
        <v/>
      </c>
      <c r="AM86" s="55" t="str">
        <f aca="false">IF(OR(A86="",K86&lt;&gt;"SI"),"",IF(AE86="","Sin objetivo",IF(AJ86="","Faltan datos",IF(AJ86&lt;0,"PÉRDIDA",IF(AK86&lt;-UMB_CRITICO,"MUY POR DEBAJO",IF(AK86&lt;-UMB_BAJO,"POR DEBAJO",IF(AK86&lt;-UMB_AJUSTADO,"AJUSTADO",IF(AK86&lt;=UMB_ALTO,"EN OBJETIVO","POR ENCIMA"))))))))</f>
        <v/>
      </c>
      <c r="AN86" s="44"/>
      <c r="AO86" s="44"/>
      <c r="AP86" s="46"/>
      <c r="AQ86" s="46"/>
      <c r="AR86" s="46"/>
      <c r="AS86" s="44"/>
      <c r="AT86" s="44"/>
      <c r="AU86" s="44"/>
      <c r="AV86" s="44"/>
      <c r="AW86" s="44"/>
      <c r="AX86" s="45"/>
      <c r="AY86" s="44"/>
      <c r="AZ86" s="56"/>
      <c r="BA86" s="45"/>
    </row>
    <row r="87" customFormat="false" ht="15" hidden="false" customHeight="false" outlineLevel="0" collapsed="false">
      <c r="A87" s="44"/>
      <c r="B87" s="44"/>
      <c r="C87" s="45"/>
      <c r="D87" s="45"/>
      <c r="E87" s="44"/>
      <c r="F87" s="44"/>
      <c r="G87" s="44"/>
      <c r="H87" s="44"/>
      <c r="I87" s="44"/>
      <c r="J87" s="44"/>
      <c r="K87" s="44"/>
      <c r="L87" s="44"/>
      <c r="M87" s="44"/>
      <c r="N87" s="44"/>
      <c r="O87" s="46"/>
      <c r="P87" s="44"/>
      <c r="Q87" s="46"/>
      <c r="R87" s="44"/>
      <c r="S87" s="45"/>
      <c r="T87" s="44"/>
      <c r="U87" s="44"/>
      <c r="V87" s="47"/>
      <c r="W87" s="48" t="str">
        <f aca="false">IF(V87="","",IFERROR(V87/O87,""))</f>
        <v/>
      </c>
      <c r="X87" s="44"/>
      <c r="Y87" s="46"/>
      <c r="Z87" s="49"/>
      <c r="AA87" s="44"/>
      <c r="AB87" s="50" t="str">
        <f aca="false">IFERROR(INDEX(TABLA_IVA!$C$3:$C$6,MATCH(AA87,TABLA_IVA!$A$3:$A$6,0)),"")</f>
        <v/>
      </c>
      <c r="AC87" s="47"/>
      <c r="AD87" s="44"/>
      <c r="AE87" s="51"/>
      <c r="AF87" s="52" t="str">
        <f aca="false">IF(OR(AC87="",AE87="",AB87=""),"",IFERROR(AC87/(1-AE87)*(1+AB87),""))</f>
        <v/>
      </c>
      <c r="AG87" s="47"/>
      <c r="AH87" s="52" t="str">
        <f aca="false">IF(AD87="FIJO",IF(AG87="","",AG87),IF(AF87&lt;&gt;"",AF87,IF(AG87="","",AG87)))</f>
        <v/>
      </c>
      <c r="AI87" s="52" t="str">
        <f aca="false">IF(OR(AH87="",AB87=""),"",IFERROR(AH87/(1+AB87),""))</f>
        <v/>
      </c>
      <c r="AJ87" s="50" t="str">
        <f aca="false">IF(OR(AI87="",AC87=""),"",IFERROR((AI87-AC87)/AI87,""))</f>
        <v/>
      </c>
      <c r="AK87" s="53" t="str">
        <f aca="false">IF(OR(AJ87="",AE87=""),"",AJ87-AE87)</f>
        <v/>
      </c>
      <c r="AL87" s="54" t="str">
        <f aca="false">IF(OR(AH87="",AF87=""),"",AH87-AF87)</f>
        <v/>
      </c>
      <c r="AM87" s="55" t="str">
        <f aca="false">IF(OR(A87="",K87&lt;&gt;"SI"),"",IF(AE87="","Sin objetivo",IF(AJ87="","Faltan datos",IF(AJ87&lt;0,"PÉRDIDA",IF(AK87&lt;-UMB_CRITICO,"MUY POR DEBAJO",IF(AK87&lt;-UMB_BAJO,"POR DEBAJO",IF(AK87&lt;-UMB_AJUSTADO,"AJUSTADO",IF(AK87&lt;=UMB_ALTO,"EN OBJETIVO","POR ENCIMA"))))))))</f>
        <v/>
      </c>
      <c r="AN87" s="44"/>
      <c r="AO87" s="44"/>
      <c r="AP87" s="46"/>
      <c r="AQ87" s="46"/>
      <c r="AR87" s="46"/>
      <c r="AS87" s="44"/>
      <c r="AT87" s="44"/>
      <c r="AU87" s="44"/>
      <c r="AV87" s="44"/>
      <c r="AW87" s="44"/>
      <c r="AX87" s="45"/>
      <c r="AY87" s="44"/>
      <c r="AZ87" s="56"/>
      <c r="BA87" s="45"/>
    </row>
    <row r="88" customFormat="false" ht="15" hidden="false" customHeight="false" outlineLevel="0" collapsed="false">
      <c r="A88" s="44"/>
      <c r="B88" s="44"/>
      <c r="C88" s="45"/>
      <c r="D88" s="45"/>
      <c r="E88" s="44"/>
      <c r="F88" s="44"/>
      <c r="G88" s="44"/>
      <c r="H88" s="44"/>
      <c r="I88" s="44"/>
      <c r="J88" s="44"/>
      <c r="K88" s="44"/>
      <c r="L88" s="44"/>
      <c r="M88" s="44"/>
      <c r="N88" s="44"/>
      <c r="O88" s="46"/>
      <c r="P88" s="44"/>
      <c r="Q88" s="46"/>
      <c r="R88" s="44"/>
      <c r="S88" s="45"/>
      <c r="T88" s="44"/>
      <c r="U88" s="44"/>
      <c r="V88" s="47"/>
      <c r="W88" s="48" t="str">
        <f aca="false">IF(V88="","",IFERROR(V88/O88,""))</f>
        <v/>
      </c>
      <c r="X88" s="44"/>
      <c r="Y88" s="46"/>
      <c r="Z88" s="49"/>
      <c r="AA88" s="44"/>
      <c r="AB88" s="50" t="str">
        <f aca="false">IFERROR(INDEX(TABLA_IVA!$C$3:$C$6,MATCH(AA88,TABLA_IVA!$A$3:$A$6,0)),"")</f>
        <v/>
      </c>
      <c r="AC88" s="47"/>
      <c r="AD88" s="44"/>
      <c r="AE88" s="51"/>
      <c r="AF88" s="52" t="str">
        <f aca="false">IF(OR(AC88="",AE88="",AB88=""),"",IFERROR(AC88/(1-AE88)*(1+AB88),""))</f>
        <v/>
      </c>
      <c r="AG88" s="47"/>
      <c r="AH88" s="52" t="str">
        <f aca="false">IF(AD88="FIJO",IF(AG88="","",AG88),IF(AF88&lt;&gt;"",AF88,IF(AG88="","",AG88)))</f>
        <v/>
      </c>
      <c r="AI88" s="52" t="str">
        <f aca="false">IF(OR(AH88="",AB88=""),"",IFERROR(AH88/(1+AB88),""))</f>
        <v/>
      </c>
      <c r="AJ88" s="50" t="str">
        <f aca="false">IF(OR(AI88="",AC88=""),"",IFERROR((AI88-AC88)/AI88,""))</f>
        <v/>
      </c>
      <c r="AK88" s="53" t="str">
        <f aca="false">IF(OR(AJ88="",AE88=""),"",AJ88-AE88)</f>
        <v/>
      </c>
      <c r="AL88" s="54" t="str">
        <f aca="false">IF(OR(AH88="",AF88=""),"",AH88-AF88)</f>
        <v/>
      </c>
      <c r="AM88" s="55" t="str">
        <f aca="false">IF(OR(A88="",K88&lt;&gt;"SI"),"",IF(AE88="","Sin objetivo",IF(AJ88="","Faltan datos",IF(AJ88&lt;0,"PÉRDIDA",IF(AK88&lt;-UMB_CRITICO,"MUY POR DEBAJO",IF(AK88&lt;-UMB_BAJO,"POR DEBAJO",IF(AK88&lt;-UMB_AJUSTADO,"AJUSTADO",IF(AK88&lt;=UMB_ALTO,"EN OBJETIVO","POR ENCIMA"))))))))</f>
        <v/>
      </c>
      <c r="AN88" s="44"/>
      <c r="AO88" s="44"/>
      <c r="AP88" s="46"/>
      <c r="AQ88" s="46"/>
      <c r="AR88" s="46"/>
      <c r="AS88" s="44"/>
      <c r="AT88" s="44"/>
      <c r="AU88" s="44"/>
      <c r="AV88" s="44"/>
      <c r="AW88" s="44"/>
      <c r="AX88" s="45"/>
      <c r="AY88" s="44"/>
      <c r="AZ88" s="56"/>
      <c r="BA88" s="45"/>
    </row>
    <row r="89" customFormat="false" ht="15" hidden="false" customHeight="false" outlineLevel="0" collapsed="false">
      <c r="A89" s="44"/>
      <c r="B89" s="44"/>
      <c r="C89" s="45"/>
      <c r="D89" s="45"/>
      <c r="E89" s="44"/>
      <c r="F89" s="44"/>
      <c r="G89" s="44"/>
      <c r="H89" s="44"/>
      <c r="I89" s="44"/>
      <c r="J89" s="44"/>
      <c r="K89" s="44"/>
      <c r="L89" s="44"/>
      <c r="M89" s="44"/>
      <c r="N89" s="44"/>
      <c r="O89" s="46"/>
      <c r="P89" s="44"/>
      <c r="Q89" s="46"/>
      <c r="R89" s="44"/>
      <c r="S89" s="45"/>
      <c r="T89" s="44"/>
      <c r="U89" s="44"/>
      <c r="V89" s="47"/>
      <c r="W89" s="48" t="str">
        <f aca="false">IF(V89="","",IFERROR(V89/O89,""))</f>
        <v/>
      </c>
      <c r="X89" s="44"/>
      <c r="Y89" s="46"/>
      <c r="Z89" s="49"/>
      <c r="AA89" s="44"/>
      <c r="AB89" s="50" t="str">
        <f aca="false">IFERROR(INDEX(TABLA_IVA!$C$3:$C$6,MATCH(AA89,TABLA_IVA!$A$3:$A$6,0)),"")</f>
        <v/>
      </c>
      <c r="AC89" s="47"/>
      <c r="AD89" s="44"/>
      <c r="AE89" s="51"/>
      <c r="AF89" s="52" t="str">
        <f aca="false">IF(OR(AC89="",AE89="",AB89=""),"",IFERROR(AC89/(1-AE89)*(1+AB89),""))</f>
        <v/>
      </c>
      <c r="AG89" s="47"/>
      <c r="AH89" s="52" t="str">
        <f aca="false">IF(AD89="FIJO",IF(AG89="","",AG89),IF(AF89&lt;&gt;"",AF89,IF(AG89="","",AG89)))</f>
        <v/>
      </c>
      <c r="AI89" s="52" t="str">
        <f aca="false">IF(OR(AH89="",AB89=""),"",IFERROR(AH89/(1+AB89),""))</f>
        <v/>
      </c>
      <c r="AJ89" s="50" t="str">
        <f aca="false">IF(OR(AI89="",AC89=""),"",IFERROR((AI89-AC89)/AI89,""))</f>
        <v/>
      </c>
      <c r="AK89" s="53" t="str">
        <f aca="false">IF(OR(AJ89="",AE89=""),"",AJ89-AE89)</f>
        <v/>
      </c>
      <c r="AL89" s="54" t="str">
        <f aca="false">IF(OR(AH89="",AF89=""),"",AH89-AF89)</f>
        <v/>
      </c>
      <c r="AM89" s="55" t="str">
        <f aca="false">IF(OR(A89="",K89&lt;&gt;"SI"),"",IF(AE89="","Sin objetivo",IF(AJ89="","Faltan datos",IF(AJ89&lt;0,"PÉRDIDA",IF(AK89&lt;-UMB_CRITICO,"MUY POR DEBAJO",IF(AK89&lt;-UMB_BAJO,"POR DEBAJO",IF(AK89&lt;-UMB_AJUSTADO,"AJUSTADO",IF(AK89&lt;=UMB_ALTO,"EN OBJETIVO","POR ENCIMA"))))))))</f>
        <v/>
      </c>
      <c r="AN89" s="44"/>
      <c r="AO89" s="44"/>
      <c r="AP89" s="46"/>
      <c r="AQ89" s="46"/>
      <c r="AR89" s="46"/>
      <c r="AS89" s="44"/>
      <c r="AT89" s="44"/>
      <c r="AU89" s="44"/>
      <c r="AV89" s="44"/>
      <c r="AW89" s="44"/>
      <c r="AX89" s="45"/>
      <c r="AY89" s="44"/>
      <c r="AZ89" s="56"/>
      <c r="BA89" s="45"/>
    </row>
    <row r="90" customFormat="false" ht="15" hidden="false" customHeight="false" outlineLevel="0" collapsed="false">
      <c r="A90" s="44"/>
      <c r="B90" s="44"/>
      <c r="C90" s="45"/>
      <c r="D90" s="45"/>
      <c r="E90" s="44"/>
      <c r="F90" s="44"/>
      <c r="G90" s="44"/>
      <c r="H90" s="44"/>
      <c r="I90" s="44"/>
      <c r="J90" s="44"/>
      <c r="K90" s="44"/>
      <c r="L90" s="44"/>
      <c r="M90" s="44"/>
      <c r="N90" s="44"/>
      <c r="O90" s="46"/>
      <c r="P90" s="44"/>
      <c r="Q90" s="46"/>
      <c r="R90" s="44"/>
      <c r="S90" s="45"/>
      <c r="T90" s="44"/>
      <c r="U90" s="44"/>
      <c r="V90" s="47"/>
      <c r="W90" s="48" t="str">
        <f aca="false">IF(V90="","",IFERROR(V90/O90,""))</f>
        <v/>
      </c>
      <c r="X90" s="44"/>
      <c r="Y90" s="46"/>
      <c r="Z90" s="49"/>
      <c r="AA90" s="44"/>
      <c r="AB90" s="50" t="str">
        <f aca="false">IFERROR(INDEX(TABLA_IVA!$C$3:$C$6,MATCH(AA90,TABLA_IVA!$A$3:$A$6,0)),"")</f>
        <v/>
      </c>
      <c r="AC90" s="47"/>
      <c r="AD90" s="44"/>
      <c r="AE90" s="51"/>
      <c r="AF90" s="52" t="str">
        <f aca="false">IF(OR(AC90="",AE90="",AB90=""),"",IFERROR(AC90/(1-AE90)*(1+AB90),""))</f>
        <v/>
      </c>
      <c r="AG90" s="47"/>
      <c r="AH90" s="52" t="str">
        <f aca="false">IF(AD90="FIJO",IF(AG90="","",AG90),IF(AF90&lt;&gt;"",AF90,IF(AG90="","",AG90)))</f>
        <v/>
      </c>
      <c r="AI90" s="52" t="str">
        <f aca="false">IF(OR(AH90="",AB90=""),"",IFERROR(AH90/(1+AB90),""))</f>
        <v/>
      </c>
      <c r="AJ90" s="50" t="str">
        <f aca="false">IF(OR(AI90="",AC90=""),"",IFERROR((AI90-AC90)/AI90,""))</f>
        <v/>
      </c>
      <c r="AK90" s="53" t="str">
        <f aca="false">IF(OR(AJ90="",AE90=""),"",AJ90-AE90)</f>
        <v/>
      </c>
      <c r="AL90" s="54" t="str">
        <f aca="false">IF(OR(AH90="",AF90=""),"",AH90-AF90)</f>
        <v/>
      </c>
      <c r="AM90" s="55" t="str">
        <f aca="false">IF(OR(A90="",K90&lt;&gt;"SI"),"",IF(AE90="","Sin objetivo",IF(AJ90="","Faltan datos",IF(AJ90&lt;0,"PÉRDIDA",IF(AK90&lt;-UMB_CRITICO,"MUY POR DEBAJO",IF(AK90&lt;-UMB_BAJO,"POR DEBAJO",IF(AK90&lt;-UMB_AJUSTADO,"AJUSTADO",IF(AK90&lt;=UMB_ALTO,"EN OBJETIVO","POR ENCIMA"))))))))</f>
        <v/>
      </c>
      <c r="AN90" s="44"/>
      <c r="AO90" s="44"/>
      <c r="AP90" s="46"/>
      <c r="AQ90" s="46"/>
      <c r="AR90" s="46"/>
      <c r="AS90" s="44"/>
      <c r="AT90" s="44"/>
      <c r="AU90" s="44"/>
      <c r="AV90" s="44"/>
      <c r="AW90" s="44"/>
      <c r="AX90" s="45"/>
      <c r="AY90" s="44"/>
      <c r="AZ90" s="56"/>
      <c r="BA90" s="45"/>
    </row>
    <row r="91" customFormat="false" ht="15" hidden="false" customHeight="false" outlineLevel="0" collapsed="false">
      <c r="A91" s="44"/>
      <c r="B91" s="44"/>
      <c r="C91" s="45"/>
      <c r="D91" s="45"/>
      <c r="E91" s="44"/>
      <c r="F91" s="44"/>
      <c r="G91" s="44"/>
      <c r="H91" s="44"/>
      <c r="I91" s="44"/>
      <c r="J91" s="44"/>
      <c r="K91" s="44"/>
      <c r="L91" s="44"/>
      <c r="M91" s="44"/>
      <c r="N91" s="44"/>
      <c r="O91" s="46"/>
      <c r="P91" s="44"/>
      <c r="Q91" s="46"/>
      <c r="R91" s="44"/>
      <c r="S91" s="45"/>
      <c r="T91" s="44"/>
      <c r="U91" s="44"/>
      <c r="V91" s="47"/>
      <c r="W91" s="48" t="str">
        <f aca="false">IF(V91="","",IFERROR(V91/O91,""))</f>
        <v/>
      </c>
      <c r="X91" s="44"/>
      <c r="Y91" s="46"/>
      <c r="Z91" s="49"/>
      <c r="AA91" s="44"/>
      <c r="AB91" s="50" t="str">
        <f aca="false">IFERROR(INDEX(TABLA_IVA!$C$3:$C$6,MATCH(AA91,TABLA_IVA!$A$3:$A$6,0)),"")</f>
        <v/>
      </c>
      <c r="AC91" s="47"/>
      <c r="AD91" s="44"/>
      <c r="AE91" s="51"/>
      <c r="AF91" s="52" t="str">
        <f aca="false">IF(OR(AC91="",AE91="",AB91=""),"",IFERROR(AC91/(1-AE91)*(1+AB91),""))</f>
        <v/>
      </c>
      <c r="AG91" s="47"/>
      <c r="AH91" s="52" t="str">
        <f aca="false">IF(AD91="FIJO",IF(AG91="","",AG91),IF(AF91&lt;&gt;"",AF91,IF(AG91="","",AG91)))</f>
        <v/>
      </c>
      <c r="AI91" s="52" t="str">
        <f aca="false">IF(OR(AH91="",AB91=""),"",IFERROR(AH91/(1+AB91),""))</f>
        <v/>
      </c>
      <c r="AJ91" s="50" t="str">
        <f aca="false">IF(OR(AI91="",AC91=""),"",IFERROR((AI91-AC91)/AI91,""))</f>
        <v/>
      </c>
      <c r="AK91" s="53" t="str">
        <f aca="false">IF(OR(AJ91="",AE91=""),"",AJ91-AE91)</f>
        <v/>
      </c>
      <c r="AL91" s="54" t="str">
        <f aca="false">IF(OR(AH91="",AF91=""),"",AH91-AF91)</f>
        <v/>
      </c>
      <c r="AM91" s="55" t="str">
        <f aca="false">IF(OR(A91="",K91&lt;&gt;"SI"),"",IF(AE91="","Sin objetivo",IF(AJ91="","Faltan datos",IF(AJ91&lt;0,"PÉRDIDA",IF(AK91&lt;-UMB_CRITICO,"MUY POR DEBAJO",IF(AK91&lt;-UMB_BAJO,"POR DEBAJO",IF(AK91&lt;-UMB_AJUSTADO,"AJUSTADO",IF(AK91&lt;=UMB_ALTO,"EN OBJETIVO","POR ENCIMA"))))))))</f>
        <v/>
      </c>
      <c r="AN91" s="44"/>
      <c r="AO91" s="44"/>
      <c r="AP91" s="46"/>
      <c r="AQ91" s="46"/>
      <c r="AR91" s="46"/>
      <c r="AS91" s="44"/>
      <c r="AT91" s="44"/>
      <c r="AU91" s="44"/>
      <c r="AV91" s="44"/>
      <c r="AW91" s="44"/>
      <c r="AX91" s="45"/>
      <c r="AY91" s="44"/>
      <c r="AZ91" s="56"/>
      <c r="BA91" s="45"/>
    </row>
    <row r="92" customFormat="false" ht="15" hidden="false" customHeight="false" outlineLevel="0" collapsed="false">
      <c r="A92" s="44"/>
      <c r="B92" s="44"/>
      <c r="C92" s="45"/>
      <c r="D92" s="45"/>
      <c r="E92" s="44"/>
      <c r="F92" s="44"/>
      <c r="G92" s="44"/>
      <c r="H92" s="44"/>
      <c r="I92" s="44"/>
      <c r="J92" s="44"/>
      <c r="K92" s="44"/>
      <c r="L92" s="44"/>
      <c r="M92" s="44"/>
      <c r="N92" s="44"/>
      <c r="O92" s="46"/>
      <c r="P92" s="44"/>
      <c r="Q92" s="46"/>
      <c r="R92" s="44"/>
      <c r="S92" s="45"/>
      <c r="T92" s="44"/>
      <c r="U92" s="44"/>
      <c r="V92" s="47"/>
      <c r="W92" s="48" t="str">
        <f aca="false">IF(V92="","",IFERROR(V92/O92,""))</f>
        <v/>
      </c>
      <c r="X92" s="44"/>
      <c r="Y92" s="46"/>
      <c r="Z92" s="49"/>
      <c r="AA92" s="44"/>
      <c r="AB92" s="50" t="str">
        <f aca="false">IFERROR(INDEX(TABLA_IVA!$C$3:$C$6,MATCH(AA92,TABLA_IVA!$A$3:$A$6,0)),"")</f>
        <v/>
      </c>
      <c r="AC92" s="47"/>
      <c r="AD92" s="44"/>
      <c r="AE92" s="51"/>
      <c r="AF92" s="52" t="str">
        <f aca="false">IF(OR(AC92="",AE92="",AB92=""),"",IFERROR(AC92/(1-AE92)*(1+AB92),""))</f>
        <v/>
      </c>
      <c r="AG92" s="47"/>
      <c r="AH92" s="52" t="str">
        <f aca="false">IF(AD92="FIJO",IF(AG92="","",AG92),IF(AF92&lt;&gt;"",AF92,IF(AG92="","",AG92)))</f>
        <v/>
      </c>
      <c r="AI92" s="52" t="str">
        <f aca="false">IF(OR(AH92="",AB92=""),"",IFERROR(AH92/(1+AB92),""))</f>
        <v/>
      </c>
      <c r="AJ92" s="50" t="str">
        <f aca="false">IF(OR(AI92="",AC92=""),"",IFERROR((AI92-AC92)/AI92,""))</f>
        <v/>
      </c>
      <c r="AK92" s="53" t="str">
        <f aca="false">IF(OR(AJ92="",AE92=""),"",AJ92-AE92)</f>
        <v/>
      </c>
      <c r="AL92" s="54" t="str">
        <f aca="false">IF(OR(AH92="",AF92=""),"",AH92-AF92)</f>
        <v/>
      </c>
      <c r="AM92" s="55" t="str">
        <f aca="false">IF(OR(A92="",K92&lt;&gt;"SI"),"",IF(AE92="","Sin objetivo",IF(AJ92="","Faltan datos",IF(AJ92&lt;0,"PÉRDIDA",IF(AK92&lt;-UMB_CRITICO,"MUY POR DEBAJO",IF(AK92&lt;-UMB_BAJO,"POR DEBAJO",IF(AK92&lt;-UMB_AJUSTADO,"AJUSTADO",IF(AK92&lt;=UMB_ALTO,"EN OBJETIVO","POR ENCIMA"))))))))</f>
        <v/>
      </c>
      <c r="AN92" s="44"/>
      <c r="AO92" s="44"/>
      <c r="AP92" s="46"/>
      <c r="AQ92" s="46"/>
      <c r="AR92" s="46"/>
      <c r="AS92" s="44"/>
      <c r="AT92" s="44"/>
      <c r="AU92" s="44"/>
      <c r="AV92" s="44"/>
      <c r="AW92" s="44"/>
      <c r="AX92" s="45"/>
      <c r="AY92" s="44"/>
      <c r="AZ92" s="56"/>
      <c r="BA92" s="45"/>
    </row>
    <row r="93" customFormat="false" ht="15" hidden="false" customHeight="false" outlineLevel="0" collapsed="false">
      <c r="A93" s="44"/>
      <c r="B93" s="44"/>
      <c r="C93" s="45"/>
      <c r="D93" s="45"/>
      <c r="E93" s="44"/>
      <c r="F93" s="44"/>
      <c r="G93" s="44"/>
      <c r="H93" s="44"/>
      <c r="I93" s="44"/>
      <c r="J93" s="44"/>
      <c r="K93" s="44"/>
      <c r="L93" s="44"/>
      <c r="M93" s="44"/>
      <c r="N93" s="44"/>
      <c r="O93" s="46"/>
      <c r="P93" s="44"/>
      <c r="Q93" s="46"/>
      <c r="R93" s="44"/>
      <c r="S93" s="45"/>
      <c r="T93" s="44"/>
      <c r="U93" s="44"/>
      <c r="V93" s="47"/>
      <c r="W93" s="48" t="str">
        <f aca="false">IF(V93="","",IFERROR(V93/O93,""))</f>
        <v/>
      </c>
      <c r="X93" s="44"/>
      <c r="Y93" s="46"/>
      <c r="Z93" s="49"/>
      <c r="AA93" s="44"/>
      <c r="AB93" s="50" t="str">
        <f aca="false">IFERROR(INDEX(TABLA_IVA!$C$3:$C$6,MATCH(AA93,TABLA_IVA!$A$3:$A$6,0)),"")</f>
        <v/>
      </c>
      <c r="AC93" s="47"/>
      <c r="AD93" s="44"/>
      <c r="AE93" s="51"/>
      <c r="AF93" s="52" t="str">
        <f aca="false">IF(OR(AC93="",AE93="",AB93=""),"",IFERROR(AC93/(1-AE93)*(1+AB93),""))</f>
        <v/>
      </c>
      <c r="AG93" s="47"/>
      <c r="AH93" s="52" t="str">
        <f aca="false">IF(AD93="FIJO",IF(AG93="","",AG93),IF(AF93&lt;&gt;"",AF93,IF(AG93="","",AG93)))</f>
        <v/>
      </c>
      <c r="AI93" s="52" t="str">
        <f aca="false">IF(OR(AH93="",AB93=""),"",IFERROR(AH93/(1+AB93),""))</f>
        <v/>
      </c>
      <c r="AJ93" s="50" t="str">
        <f aca="false">IF(OR(AI93="",AC93=""),"",IFERROR((AI93-AC93)/AI93,""))</f>
        <v/>
      </c>
      <c r="AK93" s="53" t="str">
        <f aca="false">IF(OR(AJ93="",AE93=""),"",AJ93-AE93)</f>
        <v/>
      </c>
      <c r="AL93" s="54" t="str">
        <f aca="false">IF(OR(AH93="",AF93=""),"",AH93-AF93)</f>
        <v/>
      </c>
      <c r="AM93" s="55" t="str">
        <f aca="false">IF(OR(A93="",K93&lt;&gt;"SI"),"",IF(AE93="","Sin objetivo",IF(AJ93="","Faltan datos",IF(AJ93&lt;0,"PÉRDIDA",IF(AK93&lt;-UMB_CRITICO,"MUY POR DEBAJO",IF(AK93&lt;-UMB_BAJO,"POR DEBAJO",IF(AK93&lt;-UMB_AJUSTADO,"AJUSTADO",IF(AK93&lt;=UMB_ALTO,"EN OBJETIVO","POR ENCIMA"))))))))</f>
        <v/>
      </c>
      <c r="AN93" s="44"/>
      <c r="AO93" s="44"/>
      <c r="AP93" s="46"/>
      <c r="AQ93" s="46"/>
      <c r="AR93" s="46"/>
      <c r="AS93" s="44"/>
      <c r="AT93" s="44"/>
      <c r="AU93" s="44"/>
      <c r="AV93" s="44"/>
      <c r="AW93" s="44"/>
      <c r="AX93" s="45"/>
      <c r="AY93" s="44"/>
      <c r="AZ93" s="56"/>
      <c r="BA93" s="45"/>
    </row>
    <row r="94" customFormat="false" ht="15" hidden="false" customHeight="false" outlineLevel="0" collapsed="false">
      <c r="A94" s="44"/>
      <c r="B94" s="44"/>
      <c r="C94" s="45"/>
      <c r="D94" s="45"/>
      <c r="E94" s="44"/>
      <c r="F94" s="44"/>
      <c r="G94" s="44"/>
      <c r="H94" s="44"/>
      <c r="I94" s="44"/>
      <c r="J94" s="44"/>
      <c r="K94" s="44"/>
      <c r="L94" s="44"/>
      <c r="M94" s="44"/>
      <c r="N94" s="44"/>
      <c r="O94" s="46"/>
      <c r="P94" s="44"/>
      <c r="Q94" s="46"/>
      <c r="R94" s="44"/>
      <c r="S94" s="45"/>
      <c r="T94" s="44"/>
      <c r="U94" s="44"/>
      <c r="V94" s="47"/>
      <c r="W94" s="48" t="str">
        <f aca="false">IF(V94="","",IFERROR(V94/O94,""))</f>
        <v/>
      </c>
      <c r="X94" s="44"/>
      <c r="Y94" s="46"/>
      <c r="Z94" s="49"/>
      <c r="AA94" s="44"/>
      <c r="AB94" s="50" t="str">
        <f aca="false">IFERROR(INDEX(TABLA_IVA!$C$3:$C$6,MATCH(AA94,TABLA_IVA!$A$3:$A$6,0)),"")</f>
        <v/>
      </c>
      <c r="AC94" s="47"/>
      <c r="AD94" s="44"/>
      <c r="AE94" s="51"/>
      <c r="AF94" s="52" t="str">
        <f aca="false">IF(OR(AC94="",AE94="",AB94=""),"",IFERROR(AC94/(1-AE94)*(1+AB94),""))</f>
        <v/>
      </c>
      <c r="AG94" s="47"/>
      <c r="AH94" s="52" t="str">
        <f aca="false">IF(AD94="FIJO",IF(AG94="","",AG94),IF(AF94&lt;&gt;"",AF94,IF(AG94="","",AG94)))</f>
        <v/>
      </c>
      <c r="AI94" s="52" t="str">
        <f aca="false">IF(OR(AH94="",AB94=""),"",IFERROR(AH94/(1+AB94),""))</f>
        <v/>
      </c>
      <c r="AJ94" s="50" t="str">
        <f aca="false">IF(OR(AI94="",AC94=""),"",IFERROR((AI94-AC94)/AI94,""))</f>
        <v/>
      </c>
      <c r="AK94" s="53" t="str">
        <f aca="false">IF(OR(AJ94="",AE94=""),"",AJ94-AE94)</f>
        <v/>
      </c>
      <c r="AL94" s="54" t="str">
        <f aca="false">IF(OR(AH94="",AF94=""),"",AH94-AF94)</f>
        <v/>
      </c>
      <c r="AM94" s="55" t="str">
        <f aca="false">IF(OR(A94="",K94&lt;&gt;"SI"),"",IF(AE94="","Sin objetivo",IF(AJ94="","Faltan datos",IF(AJ94&lt;0,"PÉRDIDA",IF(AK94&lt;-UMB_CRITICO,"MUY POR DEBAJO",IF(AK94&lt;-UMB_BAJO,"POR DEBAJO",IF(AK94&lt;-UMB_AJUSTADO,"AJUSTADO",IF(AK94&lt;=UMB_ALTO,"EN OBJETIVO","POR ENCIMA"))))))))</f>
        <v/>
      </c>
      <c r="AN94" s="44"/>
      <c r="AO94" s="44"/>
      <c r="AP94" s="46"/>
      <c r="AQ94" s="46"/>
      <c r="AR94" s="46"/>
      <c r="AS94" s="44"/>
      <c r="AT94" s="44"/>
      <c r="AU94" s="44"/>
      <c r="AV94" s="44"/>
      <c r="AW94" s="44"/>
      <c r="AX94" s="45"/>
      <c r="AY94" s="44"/>
      <c r="AZ94" s="56"/>
      <c r="BA94" s="45"/>
    </row>
    <row r="95" customFormat="false" ht="15" hidden="false" customHeight="false" outlineLevel="0" collapsed="false">
      <c r="A95" s="44"/>
      <c r="B95" s="44"/>
      <c r="C95" s="45"/>
      <c r="D95" s="45"/>
      <c r="E95" s="44"/>
      <c r="F95" s="44"/>
      <c r="G95" s="44"/>
      <c r="H95" s="44"/>
      <c r="I95" s="44"/>
      <c r="J95" s="44"/>
      <c r="K95" s="44"/>
      <c r="L95" s="44"/>
      <c r="M95" s="44"/>
      <c r="N95" s="44"/>
      <c r="O95" s="46"/>
      <c r="P95" s="44"/>
      <c r="Q95" s="46"/>
      <c r="R95" s="44"/>
      <c r="S95" s="45"/>
      <c r="T95" s="44"/>
      <c r="U95" s="44"/>
      <c r="V95" s="47"/>
      <c r="W95" s="48" t="str">
        <f aca="false">IF(V95="","",IFERROR(V95/O95,""))</f>
        <v/>
      </c>
      <c r="X95" s="44"/>
      <c r="Y95" s="46"/>
      <c r="Z95" s="49"/>
      <c r="AA95" s="44"/>
      <c r="AB95" s="50" t="str">
        <f aca="false">IFERROR(INDEX(TABLA_IVA!$C$3:$C$6,MATCH(AA95,TABLA_IVA!$A$3:$A$6,0)),"")</f>
        <v/>
      </c>
      <c r="AC95" s="47"/>
      <c r="AD95" s="44"/>
      <c r="AE95" s="51"/>
      <c r="AF95" s="52" t="str">
        <f aca="false">IF(OR(AC95="",AE95="",AB95=""),"",IFERROR(AC95/(1-AE95)*(1+AB95),""))</f>
        <v/>
      </c>
      <c r="AG95" s="47"/>
      <c r="AH95" s="52" t="str">
        <f aca="false">IF(AD95="FIJO",IF(AG95="","",AG95),IF(AF95&lt;&gt;"",AF95,IF(AG95="","",AG95)))</f>
        <v/>
      </c>
      <c r="AI95" s="52" t="str">
        <f aca="false">IF(OR(AH95="",AB95=""),"",IFERROR(AH95/(1+AB95),""))</f>
        <v/>
      </c>
      <c r="AJ95" s="50" t="str">
        <f aca="false">IF(OR(AI95="",AC95=""),"",IFERROR((AI95-AC95)/AI95,""))</f>
        <v/>
      </c>
      <c r="AK95" s="53" t="str">
        <f aca="false">IF(OR(AJ95="",AE95=""),"",AJ95-AE95)</f>
        <v/>
      </c>
      <c r="AL95" s="54" t="str">
        <f aca="false">IF(OR(AH95="",AF95=""),"",AH95-AF95)</f>
        <v/>
      </c>
      <c r="AM95" s="55" t="str">
        <f aca="false">IF(OR(A95="",K95&lt;&gt;"SI"),"",IF(AE95="","Sin objetivo",IF(AJ95="","Faltan datos",IF(AJ95&lt;0,"PÉRDIDA",IF(AK95&lt;-UMB_CRITICO,"MUY POR DEBAJO",IF(AK95&lt;-UMB_BAJO,"POR DEBAJO",IF(AK95&lt;-UMB_AJUSTADO,"AJUSTADO",IF(AK95&lt;=UMB_ALTO,"EN OBJETIVO","POR ENCIMA"))))))))</f>
        <v/>
      </c>
      <c r="AN95" s="44"/>
      <c r="AO95" s="44"/>
      <c r="AP95" s="46"/>
      <c r="AQ95" s="46"/>
      <c r="AR95" s="46"/>
      <c r="AS95" s="44"/>
      <c r="AT95" s="44"/>
      <c r="AU95" s="44"/>
      <c r="AV95" s="44"/>
      <c r="AW95" s="44"/>
      <c r="AX95" s="45"/>
      <c r="AY95" s="44"/>
      <c r="AZ95" s="56"/>
      <c r="BA95" s="45"/>
    </row>
    <row r="96" customFormat="false" ht="15" hidden="false" customHeight="false" outlineLevel="0" collapsed="false">
      <c r="A96" s="44"/>
      <c r="B96" s="44"/>
      <c r="C96" s="45"/>
      <c r="D96" s="45"/>
      <c r="E96" s="44"/>
      <c r="F96" s="44"/>
      <c r="G96" s="44"/>
      <c r="H96" s="44"/>
      <c r="I96" s="44"/>
      <c r="J96" s="44"/>
      <c r="K96" s="44"/>
      <c r="L96" s="44"/>
      <c r="M96" s="44"/>
      <c r="N96" s="44"/>
      <c r="O96" s="46"/>
      <c r="P96" s="44"/>
      <c r="Q96" s="46"/>
      <c r="R96" s="44"/>
      <c r="S96" s="45"/>
      <c r="T96" s="44"/>
      <c r="U96" s="44"/>
      <c r="V96" s="47"/>
      <c r="W96" s="48" t="str">
        <f aca="false">IF(V96="","",IFERROR(V96/O96,""))</f>
        <v/>
      </c>
      <c r="X96" s="44"/>
      <c r="Y96" s="46"/>
      <c r="Z96" s="49"/>
      <c r="AA96" s="44"/>
      <c r="AB96" s="50" t="str">
        <f aca="false">IFERROR(INDEX(TABLA_IVA!$C$3:$C$6,MATCH(AA96,TABLA_IVA!$A$3:$A$6,0)),"")</f>
        <v/>
      </c>
      <c r="AC96" s="47"/>
      <c r="AD96" s="44"/>
      <c r="AE96" s="51"/>
      <c r="AF96" s="52" t="str">
        <f aca="false">IF(OR(AC96="",AE96="",AB96=""),"",IFERROR(AC96/(1-AE96)*(1+AB96),""))</f>
        <v/>
      </c>
      <c r="AG96" s="47"/>
      <c r="AH96" s="52" t="str">
        <f aca="false">IF(AD96="FIJO",IF(AG96="","",AG96),IF(AF96&lt;&gt;"",AF96,IF(AG96="","",AG96)))</f>
        <v/>
      </c>
      <c r="AI96" s="52" t="str">
        <f aca="false">IF(OR(AH96="",AB96=""),"",IFERROR(AH96/(1+AB96),""))</f>
        <v/>
      </c>
      <c r="AJ96" s="50" t="str">
        <f aca="false">IF(OR(AI96="",AC96=""),"",IFERROR((AI96-AC96)/AI96,""))</f>
        <v/>
      </c>
      <c r="AK96" s="53" t="str">
        <f aca="false">IF(OR(AJ96="",AE96=""),"",AJ96-AE96)</f>
        <v/>
      </c>
      <c r="AL96" s="54" t="str">
        <f aca="false">IF(OR(AH96="",AF96=""),"",AH96-AF96)</f>
        <v/>
      </c>
      <c r="AM96" s="55" t="str">
        <f aca="false">IF(OR(A96="",K96&lt;&gt;"SI"),"",IF(AE96="","Sin objetivo",IF(AJ96="","Faltan datos",IF(AJ96&lt;0,"PÉRDIDA",IF(AK96&lt;-UMB_CRITICO,"MUY POR DEBAJO",IF(AK96&lt;-UMB_BAJO,"POR DEBAJO",IF(AK96&lt;-UMB_AJUSTADO,"AJUSTADO",IF(AK96&lt;=UMB_ALTO,"EN OBJETIVO","POR ENCIMA"))))))))</f>
        <v/>
      </c>
      <c r="AN96" s="44"/>
      <c r="AO96" s="44"/>
      <c r="AP96" s="46"/>
      <c r="AQ96" s="46"/>
      <c r="AR96" s="46"/>
      <c r="AS96" s="44"/>
      <c r="AT96" s="44"/>
      <c r="AU96" s="44"/>
      <c r="AV96" s="44"/>
      <c r="AW96" s="44"/>
      <c r="AX96" s="45"/>
      <c r="AY96" s="44"/>
      <c r="AZ96" s="56"/>
      <c r="BA96" s="45"/>
    </row>
    <row r="97" customFormat="false" ht="15" hidden="false" customHeight="false" outlineLevel="0" collapsed="false">
      <c r="A97" s="44"/>
      <c r="B97" s="44"/>
      <c r="C97" s="45"/>
      <c r="D97" s="45"/>
      <c r="E97" s="44"/>
      <c r="F97" s="44"/>
      <c r="G97" s="44"/>
      <c r="H97" s="44"/>
      <c r="I97" s="44"/>
      <c r="J97" s="44"/>
      <c r="K97" s="44"/>
      <c r="L97" s="44"/>
      <c r="M97" s="44"/>
      <c r="N97" s="44"/>
      <c r="O97" s="46"/>
      <c r="P97" s="44"/>
      <c r="Q97" s="46"/>
      <c r="R97" s="44"/>
      <c r="S97" s="45"/>
      <c r="T97" s="44"/>
      <c r="U97" s="44"/>
      <c r="V97" s="47"/>
      <c r="W97" s="48" t="str">
        <f aca="false">IF(V97="","",IFERROR(V97/O97,""))</f>
        <v/>
      </c>
      <c r="X97" s="44"/>
      <c r="Y97" s="46"/>
      <c r="Z97" s="49"/>
      <c r="AA97" s="44"/>
      <c r="AB97" s="50" t="str">
        <f aca="false">IFERROR(INDEX(TABLA_IVA!$C$3:$C$6,MATCH(AA97,TABLA_IVA!$A$3:$A$6,0)),"")</f>
        <v/>
      </c>
      <c r="AC97" s="47"/>
      <c r="AD97" s="44"/>
      <c r="AE97" s="51"/>
      <c r="AF97" s="52" t="str">
        <f aca="false">IF(OR(AC97="",AE97="",AB97=""),"",IFERROR(AC97/(1-AE97)*(1+AB97),""))</f>
        <v/>
      </c>
      <c r="AG97" s="47"/>
      <c r="AH97" s="52" t="str">
        <f aca="false">IF(AD97="FIJO",IF(AG97="","",AG97),IF(AF97&lt;&gt;"",AF97,IF(AG97="","",AG97)))</f>
        <v/>
      </c>
      <c r="AI97" s="52" t="str">
        <f aca="false">IF(OR(AH97="",AB97=""),"",IFERROR(AH97/(1+AB97),""))</f>
        <v/>
      </c>
      <c r="AJ97" s="50" t="str">
        <f aca="false">IF(OR(AI97="",AC97=""),"",IFERROR((AI97-AC97)/AI97,""))</f>
        <v/>
      </c>
      <c r="AK97" s="53" t="str">
        <f aca="false">IF(OR(AJ97="",AE97=""),"",AJ97-AE97)</f>
        <v/>
      </c>
      <c r="AL97" s="54" t="str">
        <f aca="false">IF(OR(AH97="",AF97=""),"",AH97-AF97)</f>
        <v/>
      </c>
      <c r="AM97" s="55" t="str">
        <f aca="false">IF(OR(A97="",K97&lt;&gt;"SI"),"",IF(AE97="","Sin objetivo",IF(AJ97="","Faltan datos",IF(AJ97&lt;0,"PÉRDIDA",IF(AK97&lt;-UMB_CRITICO,"MUY POR DEBAJO",IF(AK97&lt;-UMB_BAJO,"POR DEBAJO",IF(AK97&lt;-UMB_AJUSTADO,"AJUSTADO",IF(AK97&lt;=UMB_ALTO,"EN OBJETIVO","POR ENCIMA"))))))))</f>
        <v/>
      </c>
      <c r="AN97" s="44"/>
      <c r="AO97" s="44"/>
      <c r="AP97" s="46"/>
      <c r="AQ97" s="46"/>
      <c r="AR97" s="46"/>
      <c r="AS97" s="44"/>
      <c r="AT97" s="44"/>
      <c r="AU97" s="44"/>
      <c r="AV97" s="44"/>
      <c r="AW97" s="44"/>
      <c r="AX97" s="45"/>
      <c r="AY97" s="44"/>
      <c r="AZ97" s="56"/>
      <c r="BA97" s="45"/>
    </row>
    <row r="98" customFormat="false" ht="15" hidden="false" customHeight="false" outlineLevel="0" collapsed="false">
      <c r="A98" s="44"/>
      <c r="B98" s="44"/>
      <c r="C98" s="45"/>
      <c r="D98" s="45"/>
      <c r="E98" s="44"/>
      <c r="F98" s="44"/>
      <c r="G98" s="44"/>
      <c r="H98" s="44"/>
      <c r="I98" s="44"/>
      <c r="J98" s="44"/>
      <c r="K98" s="44"/>
      <c r="L98" s="44"/>
      <c r="M98" s="44"/>
      <c r="N98" s="44"/>
      <c r="O98" s="46"/>
      <c r="P98" s="44"/>
      <c r="Q98" s="46"/>
      <c r="R98" s="44"/>
      <c r="S98" s="45"/>
      <c r="T98" s="44"/>
      <c r="U98" s="44"/>
      <c r="V98" s="47"/>
      <c r="W98" s="48" t="str">
        <f aca="false">IF(V98="","",IFERROR(V98/O98,""))</f>
        <v/>
      </c>
      <c r="X98" s="44"/>
      <c r="Y98" s="46"/>
      <c r="Z98" s="49"/>
      <c r="AA98" s="44"/>
      <c r="AB98" s="50" t="str">
        <f aca="false">IFERROR(INDEX(TABLA_IVA!$C$3:$C$6,MATCH(AA98,TABLA_IVA!$A$3:$A$6,0)),"")</f>
        <v/>
      </c>
      <c r="AC98" s="47"/>
      <c r="AD98" s="44"/>
      <c r="AE98" s="51"/>
      <c r="AF98" s="52" t="str">
        <f aca="false">IF(OR(AC98="",AE98="",AB98=""),"",IFERROR(AC98/(1-AE98)*(1+AB98),""))</f>
        <v/>
      </c>
      <c r="AG98" s="47"/>
      <c r="AH98" s="52" t="str">
        <f aca="false">IF(AD98="FIJO",IF(AG98="","",AG98),IF(AF98&lt;&gt;"",AF98,IF(AG98="","",AG98)))</f>
        <v/>
      </c>
      <c r="AI98" s="52" t="str">
        <f aca="false">IF(OR(AH98="",AB98=""),"",IFERROR(AH98/(1+AB98),""))</f>
        <v/>
      </c>
      <c r="AJ98" s="50" t="str">
        <f aca="false">IF(OR(AI98="",AC98=""),"",IFERROR((AI98-AC98)/AI98,""))</f>
        <v/>
      </c>
      <c r="AK98" s="53" t="str">
        <f aca="false">IF(OR(AJ98="",AE98=""),"",AJ98-AE98)</f>
        <v/>
      </c>
      <c r="AL98" s="54" t="str">
        <f aca="false">IF(OR(AH98="",AF98=""),"",AH98-AF98)</f>
        <v/>
      </c>
      <c r="AM98" s="55" t="str">
        <f aca="false">IF(OR(A98="",K98&lt;&gt;"SI"),"",IF(AE98="","Sin objetivo",IF(AJ98="","Faltan datos",IF(AJ98&lt;0,"PÉRDIDA",IF(AK98&lt;-UMB_CRITICO,"MUY POR DEBAJO",IF(AK98&lt;-UMB_BAJO,"POR DEBAJO",IF(AK98&lt;-UMB_AJUSTADO,"AJUSTADO",IF(AK98&lt;=UMB_ALTO,"EN OBJETIVO","POR ENCIMA"))))))))</f>
        <v/>
      </c>
      <c r="AN98" s="44"/>
      <c r="AO98" s="44"/>
      <c r="AP98" s="46"/>
      <c r="AQ98" s="46"/>
      <c r="AR98" s="46"/>
      <c r="AS98" s="44"/>
      <c r="AT98" s="44"/>
      <c r="AU98" s="44"/>
      <c r="AV98" s="44"/>
      <c r="AW98" s="44"/>
      <c r="AX98" s="45"/>
      <c r="AY98" s="44"/>
      <c r="AZ98" s="56"/>
      <c r="BA98" s="45"/>
    </row>
    <row r="99" customFormat="false" ht="15" hidden="false" customHeight="false" outlineLevel="0" collapsed="false">
      <c r="A99" s="44"/>
      <c r="B99" s="44"/>
      <c r="C99" s="45"/>
      <c r="D99" s="45"/>
      <c r="E99" s="44"/>
      <c r="F99" s="44"/>
      <c r="G99" s="44"/>
      <c r="H99" s="44"/>
      <c r="I99" s="44"/>
      <c r="J99" s="44"/>
      <c r="K99" s="44"/>
      <c r="L99" s="44"/>
      <c r="M99" s="44"/>
      <c r="N99" s="44"/>
      <c r="O99" s="46"/>
      <c r="P99" s="44"/>
      <c r="Q99" s="46"/>
      <c r="R99" s="44"/>
      <c r="S99" s="45"/>
      <c r="T99" s="44"/>
      <c r="U99" s="44"/>
      <c r="V99" s="47"/>
      <c r="W99" s="48" t="str">
        <f aca="false">IF(V99="","",IFERROR(V99/O99,""))</f>
        <v/>
      </c>
      <c r="X99" s="44"/>
      <c r="Y99" s="46"/>
      <c r="Z99" s="49"/>
      <c r="AA99" s="44"/>
      <c r="AB99" s="50" t="str">
        <f aca="false">IFERROR(INDEX(TABLA_IVA!$C$3:$C$6,MATCH(AA99,TABLA_IVA!$A$3:$A$6,0)),"")</f>
        <v/>
      </c>
      <c r="AC99" s="47"/>
      <c r="AD99" s="44"/>
      <c r="AE99" s="51"/>
      <c r="AF99" s="52" t="str">
        <f aca="false">IF(OR(AC99="",AE99="",AB99=""),"",IFERROR(AC99/(1-AE99)*(1+AB99),""))</f>
        <v/>
      </c>
      <c r="AG99" s="47"/>
      <c r="AH99" s="52" t="str">
        <f aca="false">IF(AD99="FIJO",IF(AG99="","",AG99),IF(AF99&lt;&gt;"",AF99,IF(AG99="","",AG99)))</f>
        <v/>
      </c>
      <c r="AI99" s="52" t="str">
        <f aca="false">IF(OR(AH99="",AB99=""),"",IFERROR(AH99/(1+AB99),""))</f>
        <v/>
      </c>
      <c r="AJ99" s="50" t="str">
        <f aca="false">IF(OR(AI99="",AC99=""),"",IFERROR((AI99-AC99)/AI99,""))</f>
        <v/>
      </c>
      <c r="AK99" s="53" t="str">
        <f aca="false">IF(OR(AJ99="",AE99=""),"",AJ99-AE99)</f>
        <v/>
      </c>
      <c r="AL99" s="54" t="str">
        <f aca="false">IF(OR(AH99="",AF99=""),"",AH99-AF99)</f>
        <v/>
      </c>
      <c r="AM99" s="55" t="str">
        <f aca="false">IF(OR(A99="",K99&lt;&gt;"SI"),"",IF(AE99="","Sin objetivo",IF(AJ99="","Faltan datos",IF(AJ99&lt;0,"PÉRDIDA",IF(AK99&lt;-UMB_CRITICO,"MUY POR DEBAJO",IF(AK99&lt;-UMB_BAJO,"POR DEBAJO",IF(AK99&lt;-UMB_AJUSTADO,"AJUSTADO",IF(AK99&lt;=UMB_ALTO,"EN OBJETIVO","POR ENCIMA"))))))))</f>
        <v/>
      </c>
      <c r="AN99" s="44"/>
      <c r="AO99" s="44"/>
      <c r="AP99" s="46"/>
      <c r="AQ99" s="46"/>
      <c r="AR99" s="46"/>
      <c r="AS99" s="44"/>
      <c r="AT99" s="44"/>
      <c r="AU99" s="44"/>
      <c r="AV99" s="44"/>
      <c r="AW99" s="44"/>
      <c r="AX99" s="45"/>
      <c r="AY99" s="44"/>
      <c r="AZ99" s="56"/>
      <c r="BA99" s="45"/>
    </row>
    <row r="100" customFormat="false" ht="15" hidden="false" customHeight="false" outlineLevel="0" collapsed="false">
      <c r="A100" s="44"/>
      <c r="B100" s="44"/>
      <c r="C100" s="45"/>
      <c r="D100" s="45"/>
      <c r="E100" s="44"/>
      <c r="F100" s="44"/>
      <c r="G100" s="44"/>
      <c r="H100" s="44"/>
      <c r="I100" s="44"/>
      <c r="J100" s="44"/>
      <c r="K100" s="44"/>
      <c r="L100" s="44"/>
      <c r="M100" s="44"/>
      <c r="N100" s="44"/>
      <c r="O100" s="46"/>
      <c r="P100" s="44"/>
      <c r="Q100" s="46"/>
      <c r="R100" s="44"/>
      <c r="S100" s="45"/>
      <c r="T100" s="44"/>
      <c r="U100" s="44"/>
      <c r="V100" s="47"/>
      <c r="W100" s="48" t="str">
        <f aca="false">IF(V100="","",IFERROR(V100/O100,""))</f>
        <v/>
      </c>
      <c r="X100" s="44"/>
      <c r="Y100" s="46"/>
      <c r="Z100" s="49"/>
      <c r="AA100" s="44"/>
      <c r="AB100" s="50" t="str">
        <f aca="false">IFERROR(INDEX(TABLA_IVA!$C$3:$C$6,MATCH(AA100,TABLA_IVA!$A$3:$A$6,0)),"")</f>
        <v/>
      </c>
      <c r="AC100" s="47"/>
      <c r="AD100" s="44"/>
      <c r="AE100" s="51"/>
      <c r="AF100" s="52" t="str">
        <f aca="false">IF(OR(AC100="",AE100="",AB100=""),"",IFERROR(AC100/(1-AE100)*(1+AB100),""))</f>
        <v/>
      </c>
      <c r="AG100" s="47"/>
      <c r="AH100" s="52" t="str">
        <f aca="false">IF(AD100="FIJO",IF(AG100="","",AG100),IF(AF100&lt;&gt;"",AF100,IF(AG100="","",AG100)))</f>
        <v/>
      </c>
      <c r="AI100" s="52" t="str">
        <f aca="false">IF(OR(AH100="",AB100=""),"",IFERROR(AH100/(1+AB100),""))</f>
        <v/>
      </c>
      <c r="AJ100" s="50" t="str">
        <f aca="false">IF(OR(AI100="",AC100=""),"",IFERROR((AI100-AC100)/AI100,""))</f>
        <v/>
      </c>
      <c r="AK100" s="53" t="str">
        <f aca="false">IF(OR(AJ100="",AE100=""),"",AJ100-AE100)</f>
        <v/>
      </c>
      <c r="AL100" s="54" t="str">
        <f aca="false">IF(OR(AH100="",AF100=""),"",AH100-AF100)</f>
        <v/>
      </c>
      <c r="AM100" s="55" t="str">
        <f aca="false">IF(OR(A100="",K100&lt;&gt;"SI"),"",IF(AE100="","Sin objetivo",IF(AJ100="","Faltan datos",IF(AJ100&lt;0,"PÉRDIDA",IF(AK100&lt;-UMB_CRITICO,"MUY POR DEBAJO",IF(AK100&lt;-UMB_BAJO,"POR DEBAJO",IF(AK100&lt;-UMB_AJUSTADO,"AJUSTADO",IF(AK100&lt;=UMB_ALTO,"EN OBJETIVO","POR ENCIMA"))))))))</f>
        <v/>
      </c>
      <c r="AN100" s="44"/>
      <c r="AO100" s="44"/>
      <c r="AP100" s="46"/>
      <c r="AQ100" s="46"/>
      <c r="AR100" s="46"/>
      <c r="AS100" s="44"/>
      <c r="AT100" s="44"/>
      <c r="AU100" s="44"/>
      <c r="AV100" s="44"/>
      <c r="AW100" s="44"/>
      <c r="AX100" s="45"/>
      <c r="AY100" s="44"/>
      <c r="AZ100" s="56"/>
      <c r="BA100" s="45"/>
    </row>
    <row r="101" customFormat="false" ht="15" hidden="false" customHeight="false" outlineLevel="0" collapsed="false">
      <c r="A101" s="44"/>
      <c r="B101" s="44"/>
      <c r="C101" s="45"/>
      <c r="D101" s="45"/>
      <c r="E101" s="44"/>
      <c r="F101" s="44"/>
      <c r="G101" s="44"/>
      <c r="H101" s="44"/>
      <c r="I101" s="44"/>
      <c r="J101" s="44"/>
      <c r="K101" s="44"/>
      <c r="L101" s="44"/>
      <c r="M101" s="44"/>
      <c r="N101" s="44"/>
      <c r="O101" s="46"/>
      <c r="P101" s="44"/>
      <c r="Q101" s="46"/>
      <c r="R101" s="44"/>
      <c r="S101" s="45"/>
      <c r="T101" s="44"/>
      <c r="U101" s="44"/>
      <c r="V101" s="47"/>
      <c r="W101" s="48" t="str">
        <f aca="false">IF(V101="","",IFERROR(V101/O101,""))</f>
        <v/>
      </c>
      <c r="X101" s="44"/>
      <c r="Y101" s="46"/>
      <c r="Z101" s="49"/>
      <c r="AA101" s="44"/>
      <c r="AB101" s="50" t="str">
        <f aca="false">IFERROR(INDEX(TABLA_IVA!$C$3:$C$6,MATCH(AA101,TABLA_IVA!$A$3:$A$6,0)),"")</f>
        <v/>
      </c>
      <c r="AC101" s="47"/>
      <c r="AD101" s="44"/>
      <c r="AE101" s="51"/>
      <c r="AF101" s="52" t="str">
        <f aca="false">IF(OR(AC101="",AE101="",AB101=""),"",IFERROR(AC101/(1-AE101)*(1+AB101),""))</f>
        <v/>
      </c>
      <c r="AG101" s="47"/>
      <c r="AH101" s="52" t="str">
        <f aca="false">IF(AD101="FIJO",IF(AG101="","",AG101),IF(AF101&lt;&gt;"",AF101,IF(AG101="","",AG101)))</f>
        <v/>
      </c>
      <c r="AI101" s="52" t="str">
        <f aca="false">IF(OR(AH101="",AB101=""),"",IFERROR(AH101/(1+AB101),""))</f>
        <v/>
      </c>
      <c r="AJ101" s="50" t="str">
        <f aca="false">IF(OR(AI101="",AC101=""),"",IFERROR((AI101-AC101)/AI101,""))</f>
        <v/>
      </c>
      <c r="AK101" s="53" t="str">
        <f aca="false">IF(OR(AJ101="",AE101=""),"",AJ101-AE101)</f>
        <v/>
      </c>
      <c r="AL101" s="54" t="str">
        <f aca="false">IF(OR(AH101="",AF101=""),"",AH101-AF101)</f>
        <v/>
      </c>
      <c r="AM101" s="55" t="str">
        <f aca="false">IF(OR(A101="",K101&lt;&gt;"SI"),"",IF(AE101="","Sin objetivo",IF(AJ101="","Faltan datos",IF(AJ101&lt;0,"PÉRDIDA",IF(AK101&lt;-UMB_CRITICO,"MUY POR DEBAJO",IF(AK101&lt;-UMB_BAJO,"POR DEBAJO",IF(AK101&lt;-UMB_AJUSTADO,"AJUSTADO",IF(AK101&lt;=UMB_ALTO,"EN OBJETIVO","POR ENCIMA"))))))))</f>
        <v/>
      </c>
      <c r="AN101" s="44"/>
      <c r="AO101" s="44"/>
      <c r="AP101" s="46"/>
      <c r="AQ101" s="46"/>
      <c r="AR101" s="46"/>
      <c r="AS101" s="44"/>
      <c r="AT101" s="44"/>
      <c r="AU101" s="44"/>
      <c r="AV101" s="44"/>
      <c r="AW101" s="44"/>
      <c r="AX101" s="45"/>
      <c r="AY101" s="44"/>
      <c r="AZ101" s="56"/>
      <c r="BA101" s="45"/>
    </row>
    <row r="102" customFormat="false" ht="15" hidden="false" customHeight="false" outlineLevel="0" collapsed="false">
      <c r="A102" s="44"/>
      <c r="B102" s="44"/>
      <c r="C102" s="45"/>
      <c r="D102" s="45"/>
      <c r="E102" s="44"/>
      <c r="F102" s="44"/>
      <c r="G102" s="44"/>
      <c r="H102" s="44"/>
      <c r="I102" s="44"/>
      <c r="J102" s="44"/>
      <c r="K102" s="44"/>
      <c r="L102" s="44"/>
      <c r="M102" s="44"/>
      <c r="N102" s="44"/>
      <c r="O102" s="46"/>
      <c r="P102" s="44"/>
      <c r="Q102" s="46"/>
      <c r="R102" s="44"/>
      <c r="S102" s="45"/>
      <c r="T102" s="44"/>
      <c r="U102" s="44"/>
      <c r="V102" s="47"/>
      <c r="W102" s="48" t="str">
        <f aca="false">IF(V102="","",IFERROR(V102/O102,""))</f>
        <v/>
      </c>
      <c r="X102" s="44"/>
      <c r="Y102" s="46"/>
      <c r="Z102" s="49"/>
      <c r="AA102" s="44"/>
      <c r="AB102" s="50" t="str">
        <f aca="false">IFERROR(INDEX(TABLA_IVA!$C$3:$C$6,MATCH(AA102,TABLA_IVA!$A$3:$A$6,0)),"")</f>
        <v/>
      </c>
      <c r="AC102" s="47"/>
      <c r="AD102" s="44"/>
      <c r="AE102" s="51"/>
      <c r="AF102" s="52" t="str">
        <f aca="false">IF(OR(AC102="",AE102="",AB102=""),"",IFERROR(AC102/(1-AE102)*(1+AB102),""))</f>
        <v/>
      </c>
      <c r="AG102" s="47"/>
      <c r="AH102" s="52" t="str">
        <f aca="false">IF(AD102="FIJO",IF(AG102="","",AG102),IF(AF102&lt;&gt;"",AF102,IF(AG102="","",AG102)))</f>
        <v/>
      </c>
      <c r="AI102" s="52" t="str">
        <f aca="false">IF(OR(AH102="",AB102=""),"",IFERROR(AH102/(1+AB102),""))</f>
        <v/>
      </c>
      <c r="AJ102" s="50" t="str">
        <f aca="false">IF(OR(AI102="",AC102=""),"",IFERROR((AI102-AC102)/AI102,""))</f>
        <v/>
      </c>
      <c r="AK102" s="53" t="str">
        <f aca="false">IF(OR(AJ102="",AE102=""),"",AJ102-AE102)</f>
        <v/>
      </c>
      <c r="AL102" s="54" t="str">
        <f aca="false">IF(OR(AH102="",AF102=""),"",AH102-AF102)</f>
        <v/>
      </c>
      <c r="AM102" s="55" t="str">
        <f aca="false">IF(OR(A102="",K102&lt;&gt;"SI"),"",IF(AE102="","Sin objetivo",IF(AJ102="","Faltan datos",IF(AJ102&lt;0,"PÉRDIDA",IF(AK102&lt;-UMB_CRITICO,"MUY POR DEBAJO",IF(AK102&lt;-UMB_BAJO,"POR DEBAJO",IF(AK102&lt;-UMB_AJUSTADO,"AJUSTADO",IF(AK102&lt;=UMB_ALTO,"EN OBJETIVO","POR ENCIMA"))))))))</f>
        <v/>
      </c>
      <c r="AN102" s="44"/>
      <c r="AO102" s="44"/>
      <c r="AP102" s="46"/>
      <c r="AQ102" s="46"/>
      <c r="AR102" s="46"/>
      <c r="AS102" s="44"/>
      <c r="AT102" s="44"/>
      <c r="AU102" s="44"/>
      <c r="AV102" s="44"/>
      <c r="AW102" s="44"/>
      <c r="AX102" s="45"/>
      <c r="AY102" s="44"/>
      <c r="AZ102" s="56"/>
      <c r="BA102" s="45"/>
    </row>
    <row r="103" customFormat="false" ht="15" hidden="false" customHeight="false" outlineLevel="0" collapsed="false">
      <c r="A103" s="44"/>
      <c r="B103" s="44"/>
      <c r="C103" s="45"/>
      <c r="D103" s="45"/>
      <c r="E103" s="44"/>
      <c r="F103" s="44"/>
      <c r="G103" s="44"/>
      <c r="H103" s="44"/>
      <c r="I103" s="44"/>
      <c r="J103" s="44"/>
      <c r="K103" s="44"/>
      <c r="L103" s="44"/>
      <c r="M103" s="44"/>
      <c r="N103" s="44"/>
      <c r="O103" s="46"/>
      <c r="P103" s="44"/>
      <c r="Q103" s="46"/>
      <c r="R103" s="44"/>
      <c r="S103" s="45"/>
      <c r="T103" s="44"/>
      <c r="U103" s="44"/>
      <c r="V103" s="47"/>
      <c r="W103" s="48" t="str">
        <f aca="false">IF(V103="","",IFERROR(V103/O103,""))</f>
        <v/>
      </c>
      <c r="X103" s="44"/>
      <c r="Y103" s="46"/>
      <c r="Z103" s="49"/>
      <c r="AA103" s="44"/>
      <c r="AB103" s="50" t="str">
        <f aca="false">IFERROR(INDEX(TABLA_IVA!$C$3:$C$6,MATCH(AA103,TABLA_IVA!$A$3:$A$6,0)),"")</f>
        <v/>
      </c>
      <c r="AC103" s="47"/>
      <c r="AD103" s="44"/>
      <c r="AE103" s="51"/>
      <c r="AF103" s="52" t="str">
        <f aca="false">IF(OR(AC103="",AE103="",AB103=""),"",IFERROR(AC103/(1-AE103)*(1+AB103),""))</f>
        <v/>
      </c>
      <c r="AG103" s="47"/>
      <c r="AH103" s="52" t="str">
        <f aca="false">IF(AD103="FIJO",IF(AG103="","",AG103),IF(AF103&lt;&gt;"",AF103,IF(AG103="","",AG103)))</f>
        <v/>
      </c>
      <c r="AI103" s="52" t="str">
        <f aca="false">IF(OR(AH103="",AB103=""),"",IFERROR(AH103/(1+AB103),""))</f>
        <v/>
      </c>
      <c r="AJ103" s="50" t="str">
        <f aca="false">IF(OR(AI103="",AC103=""),"",IFERROR((AI103-AC103)/AI103,""))</f>
        <v/>
      </c>
      <c r="AK103" s="53" t="str">
        <f aca="false">IF(OR(AJ103="",AE103=""),"",AJ103-AE103)</f>
        <v/>
      </c>
      <c r="AL103" s="54" t="str">
        <f aca="false">IF(OR(AH103="",AF103=""),"",AH103-AF103)</f>
        <v/>
      </c>
      <c r="AM103" s="55" t="str">
        <f aca="false">IF(OR(A103="",K103&lt;&gt;"SI"),"",IF(AE103="","Sin objetivo",IF(AJ103="","Faltan datos",IF(AJ103&lt;0,"PÉRDIDA",IF(AK103&lt;-UMB_CRITICO,"MUY POR DEBAJO",IF(AK103&lt;-UMB_BAJO,"POR DEBAJO",IF(AK103&lt;-UMB_AJUSTADO,"AJUSTADO",IF(AK103&lt;=UMB_ALTO,"EN OBJETIVO","POR ENCIMA"))))))))</f>
        <v/>
      </c>
      <c r="AN103" s="44"/>
      <c r="AO103" s="44"/>
      <c r="AP103" s="46"/>
      <c r="AQ103" s="46"/>
      <c r="AR103" s="46"/>
      <c r="AS103" s="44"/>
      <c r="AT103" s="44"/>
      <c r="AU103" s="44"/>
      <c r="AV103" s="44"/>
      <c r="AW103" s="44"/>
      <c r="AX103" s="45"/>
      <c r="AY103" s="44"/>
      <c r="AZ103" s="56"/>
      <c r="BA103" s="45"/>
    </row>
    <row r="104" customFormat="false" ht="15" hidden="false" customHeight="false" outlineLevel="0" collapsed="false">
      <c r="A104" s="44"/>
      <c r="B104" s="44"/>
      <c r="C104" s="45"/>
      <c r="D104" s="45"/>
      <c r="E104" s="44"/>
      <c r="F104" s="44"/>
      <c r="G104" s="44"/>
      <c r="H104" s="44"/>
      <c r="I104" s="44"/>
      <c r="J104" s="44"/>
      <c r="K104" s="44"/>
      <c r="L104" s="44"/>
      <c r="M104" s="44"/>
      <c r="N104" s="44"/>
      <c r="O104" s="46"/>
      <c r="P104" s="44"/>
      <c r="Q104" s="46"/>
      <c r="R104" s="44"/>
      <c r="S104" s="45"/>
      <c r="T104" s="44"/>
      <c r="U104" s="44"/>
      <c r="V104" s="47"/>
      <c r="W104" s="48" t="str">
        <f aca="false">IF(V104="","",IFERROR(V104/O104,""))</f>
        <v/>
      </c>
      <c r="X104" s="44"/>
      <c r="Y104" s="46"/>
      <c r="Z104" s="49"/>
      <c r="AA104" s="44"/>
      <c r="AB104" s="50" t="str">
        <f aca="false">IFERROR(INDEX(TABLA_IVA!$C$3:$C$6,MATCH(AA104,TABLA_IVA!$A$3:$A$6,0)),"")</f>
        <v/>
      </c>
      <c r="AC104" s="47"/>
      <c r="AD104" s="44"/>
      <c r="AE104" s="51"/>
      <c r="AF104" s="52" t="str">
        <f aca="false">IF(OR(AC104="",AE104="",AB104=""),"",IFERROR(AC104/(1-AE104)*(1+AB104),""))</f>
        <v/>
      </c>
      <c r="AG104" s="47"/>
      <c r="AH104" s="52" t="str">
        <f aca="false">IF(AD104="FIJO",IF(AG104="","",AG104),IF(AF104&lt;&gt;"",AF104,IF(AG104="","",AG104)))</f>
        <v/>
      </c>
      <c r="AI104" s="52" t="str">
        <f aca="false">IF(OR(AH104="",AB104=""),"",IFERROR(AH104/(1+AB104),""))</f>
        <v/>
      </c>
      <c r="AJ104" s="50" t="str">
        <f aca="false">IF(OR(AI104="",AC104=""),"",IFERROR((AI104-AC104)/AI104,""))</f>
        <v/>
      </c>
      <c r="AK104" s="53" t="str">
        <f aca="false">IF(OR(AJ104="",AE104=""),"",AJ104-AE104)</f>
        <v/>
      </c>
      <c r="AL104" s="54" t="str">
        <f aca="false">IF(OR(AH104="",AF104=""),"",AH104-AF104)</f>
        <v/>
      </c>
      <c r="AM104" s="55" t="str">
        <f aca="false">IF(OR(A104="",K104&lt;&gt;"SI"),"",IF(AE104="","Sin objetivo",IF(AJ104="","Faltan datos",IF(AJ104&lt;0,"PÉRDIDA",IF(AK104&lt;-UMB_CRITICO,"MUY POR DEBAJO",IF(AK104&lt;-UMB_BAJO,"POR DEBAJO",IF(AK104&lt;-UMB_AJUSTADO,"AJUSTADO",IF(AK104&lt;=UMB_ALTO,"EN OBJETIVO","POR ENCIMA"))))))))</f>
        <v/>
      </c>
      <c r="AN104" s="44"/>
      <c r="AO104" s="44"/>
      <c r="AP104" s="46"/>
      <c r="AQ104" s="46"/>
      <c r="AR104" s="46"/>
      <c r="AS104" s="44"/>
      <c r="AT104" s="44"/>
      <c r="AU104" s="44"/>
      <c r="AV104" s="44"/>
      <c r="AW104" s="44"/>
      <c r="AX104" s="45"/>
      <c r="AY104" s="44"/>
      <c r="AZ104" s="56"/>
      <c r="BA104" s="45"/>
    </row>
    <row r="105" customFormat="false" ht="15" hidden="false" customHeight="false" outlineLevel="0" collapsed="false">
      <c r="A105" s="44"/>
      <c r="B105" s="44"/>
      <c r="C105" s="45"/>
      <c r="D105" s="45"/>
      <c r="E105" s="44"/>
      <c r="F105" s="44"/>
      <c r="G105" s="44"/>
      <c r="H105" s="44"/>
      <c r="I105" s="44"/>
      <c r="J105" s="44"/>
      <c r="K105" s="44"/>
      <c r="L105" s="44"/>
      <c r="M105" s="44"/>
      <c r="N105" s="44"/>
      <c r="O105" s="46"/>
      <c r="P105" s="44"/>
      <c r="Q105" s="46"/>
      <c r="R105" s="44"/>
      <c r="S105" s="45"/>
      <c r="T105" s="44"/>
      <c r="U105" s="44"/>
      <c r="V105" s="47"/>
      <c r="W105" s="48" t="str">
        <f aca="false">IF(V105="","",IFERROR(V105/O105,""))</f>
        <v/>
      </c>
      <c r="X105" s="44"/>
      <c r="Y105" s="46"/>
      <c r="Z105" s="49"/>
      <c r="AA105" s="44"/>
      <c r="AB105" s="50" t="str">
        <f aca="false">IFERROR(INDEX(TABLA_IVA!$C$3:$C$6,MATCH(AA105,TABLA_IVA!$A$3:$A$6,0)),"")</f>
        <v/>
      </c>
      <c r="AC105" s="47"/>
      <c r="AD105" s="44"/>
      <c r="AE105" s="51"/>
      <c r="AF105" s="52" t="str">
        <f aca="false">IF(OR(AC105="",AE105="",AB105=""),"",IFERROR(AC105/(1-AE105)*(1+AB105),""))</f>
        <v/>
      </c>
      <c r="AG105" s="47"/>
      <c r="AH105" s="52" t="str">
        <f aca="false">IF(AD105="FIJO",IF(AG105="","",AG105),IF(AF105&lt;&gt;"",AF105,IF(AG105="","",AG105)))</f>
        <v/>
      </c>
      <c r="AI105" s="52" t="str">
        <f aca="false">IF(OR(AH105="",AB105=""),"",IFERROR(AH105/(1+AB105),""))</f>
        <v/>
      </c>
      <c r="AJ105" s="50" t="str">
        <f aca="false">IF(OR(AI105="",AC105=""),"",IFERROR((AI105-AC105)/AI105,""))</f>
        <v/>
      </c>
      <c r="AK105" s="53" t="str">
        <f aca="false">IF(OR(AJ105="",AE105=""),"",AJ105-AE105)</f>
        <v/>
      </c>
      <c r="AL105" s="54" t="str">
        <f aca="false">IF(OR(AH105="",AF105=""),"",AH105-AF105)</f>
        <v/>
      </c>
      <c r="AM105" s="55" t="str">
        <f aca="false">IF(OR(A105="",K105&lt;&gt;"SI"),"",IF(AE105="","Sin objetivo",IF(AJ105="","Faltan datos",IF(AJ105&lt;0,"PÉRDIDA",IF(AK105&lt;-UMB_CRITICO,"MUY POR DEBAJO",IF(AK105&lt;-UMB_BAJO,"POR DEBAJO",IF(AK105&lt;-UMB_AJUSTADO,"AJUSTADO",IF(AK105&lt;=UMB_ALTO,"EN OBJETIVO","POR ENCIMA"))))))))</f>
        <v/>
      </c>
      <c r="AN105" s="44"/>
      <c r="AO105" s="44"/>
      <c r="AP105" s="46"/>
      <c r="AQ105" s="46"/>
      <c r="AR105" s="46"/>
      <c r="AS105" s="44"/>
      <c r="AT105" s="44"/>
      <c r="AU105" s="44"/>
      <c r="AV105" s="44"/>
      <c r="AW105" s="44"/>
      <c r="AX105" s="45"/>
      <c r="AY105" s="44"/>
      <c r="AZ105" s="56"/>
      <c r="BA105" s="45"/>
    </row>
    <row r="106" customFormat="false" ht="15" hidden="false" customHeight="false" outlineLevel="0" collapsed="false">
      <c r="A106" s="44"/>
      <c r="B106" s="44"/>
      <c r="C106" s="45"/>
      <c r="D106" s="45"/>
      <c r="E106" s="44"/>
      <c r="F106" s="44"/>
      <c r="G106" s="44"/>
      <c r="H106" s="44"/>
      <c r="I106" s="44"/>
      <c r="J106" s="44"/>
      <c r="K106" s="44"/>
      <c r="L106" s="44"/>
      <c r="M106" s="44"/>
      <c r="N106" s="44"/>
      <c r="O106" s="46"/>
      <c r="P106" s="44"/>
      <c r="Q106" s="46"/>
      <c r="R106" s="44"/>
      <c r="S106" s="45"/>
      <c r="T106" s="44"/>
      <c r="U106" s="44"/>
      <c r="V106" s="47"/>
      <c r="W106" s="48" t="str">
        <f aca="false">IF(V106="","",IFERROR(V106/O106,""))</f>
        <v/>
      </c>
      <c r="X106" s="44"/>
      <c r="Y106" s="46"/>
      <c r="Z106" s="49"/>
      <c r="AA106" s="44"/>
      <c r="AB106" s="50" t="str">
        <f aca="false">IFERROR(INDEX(TABLA_IVA!$C$3:$C$6,MATCH(AA106,TABLA_IVA!$A$3:$A$6,0)),"")</f>
        <v/>
      </c>
      <c r="AC106" s="47"/>
      <c r="AD106" s="44"/>
      <c r="AE106" s="51"/>
      <c r="AF106" s="52" t="str">
        <f aca="false">IF(OR(AC106="",AE106="",AB106=""),"",IFERROR(AC106/(1-AE106)*(1+AB106),""))</f>
        <v/>
      </c>
      <c r="AG106" s="47"/>
      <c r="AH106" s="52" t="str">
        <f aca="false">IF(AD106="FIJO",IF(AG106="","",AG106),IF(AF106&lt;&gt;"",AF106,IF(AG106="","",AG106)))</f>
        <v/>
      </c>
      <c r="AI106" s="52" t="str">
        <f aca="false">IF(OR(AH106="",AB106=""),"",IFERROR(AH106/(1+AB106),""))</f>
        <v/>
      </c>
      <c r="AJ106" s="50" t="str">
        <f aca="false">IF(OR(AI106="",AC106=""),"",IFERROR((AI106-AC106)/AI106,""))</f>
        <v/>
      </c>
      <c r="AK106" s="53" t="str">
        <f aca="false">IF(OR(AJ106="",AE106=""),"",AJ106-AE106)</f>
        <v/>
      </c>
      <c r="AL106" s="54" t="str">
        <f aca="false">IF(OR(AH106="",AF106=""),"",AH106-AF106)</f>
        <v/>
      </c>
      <c r="AM106" s="55" t="str">
        <f aca="false">IF(OR(A106="",K106&lt;&gt;"SI"),"",IF(AE106="","Sin objetivo",IF(AJ106="","Faltan datos",IF(AJ106&lt;0,"PÉRDIDA",IF(AK106&lt;-UMB_CRITICO,"MUY POR DEBAJO",IF(AK106&lt;-UMB_BAJO,"POR DEBAJO",IF(AK106&lt;-UMB_AJUSTADO,"AJUSTADO",IF(AK106&lt;=UMB_ALTO,"EN OBJETIVO","POR ENCIMA"))))))))</f>
        <v/>
      </c>
      <c r="AN106" s="44"/>
      <c r="AO106" s="44"/>
      <c r="AP106" s="46"/>
      <c r="AQ106" s="46"/>
      <c r="AR106" s="46"/>
      <c r="AS106" s="44"/>
      <c r="AT106" s="44"/>
      <c r="AU106" s="44"/>
      <c r="AV106" s="44"/>
      <c r="AW106" s="44"/>
      <c r="AX106" s="45"/>
      <c r="AY106" s="44"/>
      <c r="AZ106" s="56"/>
      <c r="BA106" s="45"/>
    </row>
    <row r="107" customFormat="false" ht="15" hidden="false" customHeight="false" outlineLevel="0" collapsed="false">
      <c r="A107" s="44"/>
      <c r="B107" s="44"/>
      <c r="C107" s="45"/>
      <c r="D107" s="45"/>
      <c r="E107" s="44"/>
      <c r="F107" s="44"/>
      <c r="G107" s="44"/>
      <c r="H107" s="44"/>
      <c r="I107" s="44"/>
      <c r="J107" s="44"/>
      <c r="K107" s="44"/>
      <c r="L107" s="44"/>
      <c r="M107" s="44"/>
      <c r="N107" s="44"/>
      <c r="O107" s="46"/>
      <c r="P107" s="44"/>
      <c r="Q107" s="46"/>
      <c r="R107" s="44"/>
      <c r="S107" s="45"/>
      <c r="T107" s="44"/>
      <c r="U107" s="44"/>
      <c r="V107" s="47"/>
      <c r="W107" s="48" t="str">
        <f aca="false">IF(V107="","",IFERROR(V107/O107,""))</f>
        <v/>
      </c>
      <c r="X107" s="44"/>
      <c r="Y107" s="46"/>
      <c r="Z107" s="49"/>
      <c r="AA107" s="44"/>
      <c r="AB107" s="50" t="str">
        <f aca="false">IFERROR(INDEX(TABLA_IVA!$C$3:$C$6,MATCH(AA107,TABLA_IVA!$A$3:$A$6,0)),"")</f>
        <v/>
      </c>
      <c r="AC107" s="47"/>
      <c r="AD107" s="44"/>
      <c r="AE107" s="51"/>
      <c r="AF107" s="52" t="str">
        <f aca="false">IF(OR(AC107="",AE107="",AB107=""),"",IFERROR(AC107/(1-AE107)*(1+AB107),""))</f>
        <v/>
      </c>
      <c r="AG107" s="47"/>
      <c r="AH107" s="52" t="str">
        <f aca="false">IF(AD107="FIJO",IF(AG107="","",AG107),IF(AF107&lt;&gt;"",AF107,IF(AG107="","",AG107)))</f>
        <v/>
      </c>
      <c r="AI107" s="52" t="str">
        <f aca="false">IF(OR(AH107="",AB107=""),"",IFERROR(AH107/(1+AB107),""))</f>
        <v/>
      </c>
      <c r="AJ107" s="50" t="str">
        <f aca="false">IF(OR(AI107="",AC107=""),"",IFERROR((AI107-AC107)/AI107,""))</f>
        <v/>
      </c>
      <c r="AK107" s="53" t="str">
        <f aca="false">IF(OR(AJ107="",AE107=""),"",AJ107-AE107)</f>
        <v/>
      </c>
      <c r="AL107" s="54" t="str">
        <f aca="false">IF(OR(AH107="",AF107=""),"",AH107-AF107)</f>
        <v/>
      </c>
      <c r="AM107" s="55" t="str">
        <f aca="false">IF(OR(A107="",K107&lt;&gt;"SI"),"",IF(AE107="","Sin objetivo",IF(AJ107="","Faltan datos",IF(AJ107&lt;0,"PÉRDIDA",IF(AK107&lt;-UMB_CRITICO,"MUY POR DEBAJO",IF(AK107&lt;-UMB_BAJO,"POR DEBAJO",IF(AK107&lt;-UMB_AJUSTADO,"AJUSTADO",IF(AK107&lt;=UMB_ALTO,"EN OBJETIVO","POR ENCIMA"))))))))</f>
        <v/>
      </c>
      <c r="AN107" s="44"/>
      <c r="AO107" s="44"/>
      <c r="AP107" s="46"/>
      <c r="AQ107" s="46"/>
      <c r="AR107" s="46"/>
      <c r="AS107" s="44"/>
      <c r="AT107" s="44"/>
      <c r="AU107" s="44"/>
      <c r="AV107" s="44"/>
      <c r="AW107" s="44"/>
      <c r="AX107" s="45"/>
      <c r="AY107" s="44"/>
      <c r="AZ107" s="56"/>
      <c r="BA107" s="45"/>
    </row>
    <row r="108" customFormat="false" ht="15" hidden="false" customHeight="false" outlineLevel="0" collapsed="false">
      <c r="A108" s="44"/>
      <c r="B108" s="44"/>
      <c r="C108" s="45"/>
      <c r="D108" s="45"/>
      <c r="E108" s="44"/>
      <c r="F108" s="44"/>
      <c r="G108" s="44"/>
      <c r="H108" s="44"/>
      <c r="I108" s="44"/>
      <c r="J108" s="44"/>
      <c r="K108" s="44"/>
      <c r="L108" s="44"/>
      <c r="M108" s="44"/>
      <c r="N108" s="44"/>
      <c r="O108" s="46"/>
      <c r="P108" s="44"/>
      <c r="Q108" s="46"/>
      <c r="R108" s="44"/>
      <c r="S108" s="45"/>
      <c r="T108" s="44"/>
      <c r="U108" s="44"/>
      <c r="V108" s="47"/>
      <c r="W108" s="48" t="str">
        <f aca="false">IF(V108="","",IFERROR(V108/O108,""))</f>
        <v/>
      </c>
      <c r="X108" s="44"/>
      <c r="Y108" s="46"/>
      <c r="Z108" s="49"/>
      <c r="AA108" s="44"/>
      <c r="AB108" s="50" t="str">
        <f aca="false">IFERROR(INDEX(TABLA_IVA!$C$3:$C$6,MATCH(AA108,TABLA_IVA!$A$3:$A$6,0)),"")</f>
        <v/>
      </c>
      <c r="AC108" s="47"/>
      <c r="AD108" s="44"/>
      <c r="AE108" s="51"/>
      <c r="AF108" s="52" t="str">
        <f aca="false">IF(OR(AC108="",AE108="",AB108=""),"",IFERROR(AC108/(1-AE108)*(1+AB108),""))</f>
        <v/>
      </c>
      <c r="AG108" s="47"/>
      <c r="AH108" s="52" t="str">
        <f aca="false">IF(AD108="FIJO",IF(AG108="","",AG108),IF(AF108&lt;&gt;"",AF108,IF(AG108="","",AG108)))</f>
        <v/>
      </c>
      <c r="AI108" s="52" t="str">
        <f aca="false">IF(OR(AH108="",AB108=""),"",IFERROR(AH108/(1+AB108),""))</f>
        <v/>
      </c>
      <c r="AJ108" s="50" t="str">
        <f aca="false">IF(OR(AI108="",AC108=""),"",IFERROR((AI108-AC108)/AI108,""))</f>
        <v/>
      </c>
      <c r="AK108" s="53" t="str">
        <f aca="false">IF(OR(AJ108="",AE108=""),"",AJ108-AE108)</f>
        <v/>
      </c>
      <c r="AL108" s="54" t="str">
        <f aca="false">IF(OR(AH108="",AF108=""),"",AH108-AF108)</f>
        <v/>
      </c>
      <c r="AM108" s="55" t="str">
        <f aca="false">IF(OR(A108="",K108&lt;&gt;"SI"),"",IF(AE108="","Sin objetivo",IF(AJ108="","Faltan datos",IF(AJ108&lt;0,"PÉRDIDA",IF(AK108&lt;-UMB_CRITICO,"MUY POR DEBAJO",IF(AK108&lt;-UMB_BAJO,"POR DEBAJO",IF(AK108&lt;-UMB_AJUSTADO,"AJUSTADO",IF(AK108&lt;=UMB_ALTO,"EN OBJETIVO","POR ENCIMA"))))))))</f>
        <v/>
      </c>
      <c r="AN108" s="44"/>
      <c r="AO108" s="44"/>
      <c r="AP108" s="46"/>
      <c r="AQ108" s="46"/>
      <c r="AR108" s="46"/>
      <c r="AS108" s="44"/>
      <c r="AT108" s="44"/>
      <c r="AU108" s="44"/>
      <c r="AV108" s="44"/>
      <c r="AW108" s="44"/>
      <c r="AX108" s="45"/>
      <c r="AY108" s="44"/>
      <c r="AZ108" s="56"/>
      <c r="BA108" s="45"/>
    </row>
    <row r="109" customFormat="false" ht="15" hidden="false" customHeight="false" outlineLevel="0" collapsed="false">
      <c r="A109" s="44"/>
      <c r="B109" s="44"/>
      <c r="C109" s="45"/>
      <c r="D109" s="45"/>
      <c r="E109" s="44"/>
      <c r="F109" s="44"/>
      <c r="G109" s="44"/>
      <c r="H109" s="44"/>
      <c r="I109" s="44"/>
      <c r="J109" s="44"/>
      <c r="K109" s="44"/>
      <c r="L109" s="44"/>
      <c r="M109" s="44"/>
      <c r="N109" s="44"/>
      <c r="O109" s="46"/>
      <c r="P109" s="44"/>
      <c r="Q109" s="46"/>
      <c r="R109" s="44"/>
      <c r="S109" s="45"/>
      <c r="T109" s="44"/>
      <c r="U109" s="44"/>
      <c r="V109" s="47"/>
      <c r="W109" s="48" t="str">
        <f aca="false">IF(V109="","",IFERROR(V109/O109,""))</f>
        <v/>
      </c>
      <c r="X109" s="44"/>
      <c r="Y109" s="46"/>
      <c r="Z109" s="49"/>
      <c r="AA109" s="44"/>
      <c r="AB109" s="50" t="str">
        <f aca="false">IFERROR(INDEX(TABLA_IVA!$C$3:$C$6,MATCH(AA109,TABLA_IVA!$A$3:$A$6,0)),"")</f>
        <v/>
      </c>
      <c r="AC109" s="47"/>
      <c r="AD109" s="44"/>
      <c r="AE109" s="51"/>
      <c r="AF109" s="52" t="str">
        <f aca="false">IF(OR(AC109="",AE109="",AB109=""),"",IFERROR(AC109/(1-AE109)*(1+AB109),""))</f>
        <v/>
      </c>
      <c r="AG109" s="47"/>
      <c r="AH109" s="52" t="str">
        <f aca="false">IF(AD109="FIJO",IF(AG109="","",AG109),IF(AF109&lt;&gt;"",AF109,IF(AG109="","",AG109)))</f>
        <v/>
      </c>
      <c r="AI109" s="52" t="str">
        <f aca="false">IF(OR(AH109="",AB109=""),"",IFERROR(AH109/(1+AB109),""))</f>
        <v/>
      </c>
      <c r="AJ109" s="50" t="str">
        <f aca="false">IF(OR(AI109="",AC109=""),"",IFERROR((AI109-AC109)/AI109,""))</f>
        <v/>
      </c>
      <c r="AK109" s="53" t="str">
        <f aca="false">IF(OR(AJ109="",AE109=""),"",AJ109-AE109)</f>
        <v/>
      </c>
      <c r="AL109" s="54" t="str">
        <f aca="false">IF(OR(AH109="",AF109=""),"",AH109-AF109)</f>
        <v/>
      </c>
      <c r="AM109" s="55" t="str">
        <f aca="false">IF(OR(A109="",K109&lt;&gt;"SI"),"",IF(AE109="","Sin objetivo",IF(AJ109="","Faltan datos",IF(AJ109&lt;0,"PÉRDIDA",IF(AK109&lt;-UMB_CRITICO,"MUY POR DEBAJO",IF(AK109&lt;-UMB_BAJO,"POR DEBAJO",IF(AK109&lt;-UMB_AJUSTADO,"AJUSTADO",IF(AK109&lt;=UMB_ALTO,"EN OBJETIVO","POR ENCIMA"))))))))</f>
        <v/>
      </c>
      <c r="AN109" s="44"/>
      <c r="AO109" s="44"/>
      <c r="AP109" s="46"/>
      <c r="AQ109" s="46"/>
      <c r="AR109" s="46"/>
      <c r="AS109" s="44"/>
      <c r="AT109" s="44"/>
      <c r="AU109" s="44"/>
      <c r="AV109" s="44"/>
      <c r="AW109" s="44"/>
      <c r="AX109" s="45"/>
      <c r="AY109" s="44"/>
      <c r="AZ109" s="56"/>
      <c r="BA109" s="45"/>
    </row>
    <row r="110" customFormat="false" ht="15" hidden="false" customHeight="false" outlineLevel="0" collapsed="false">
      <c r="A110" s="44"/>
      <c r="B110" s="44"/>
      <c r="C110" s="45"/>
      <c r="D110" s="45"/>
      <c r="E110" s="44"/>
      <c r="F110" s="44"/>
      <c r="G110" s="44"/>
      <c r="H110" s="44"/>
      <c r="I110" s="44"/>
      <c r="J110" s="44"/>
      <c r="K110" s="44"/>
      <c r="L110" s="44"/>
      <c r="M110" s="44"/>
      <c r="N110" s="44"/>
      <c r="O110" s="46"/>
      <c r="P110" s="44"/>
      <c r="Q110" s="46"/>
      <c r="R110" s="44"/>
      <c r="S110" s="45"/>
      <c r="T110" s="44"/>
      <c r="U110" s="44"/>
      <c r="V110" s="47"/>
      <c r="W110" s="48" t="str">
        <f aca="false">IF(V110="","",IFERROR(V110/O110,""))</f>
        <v/>
      </c>
      <c r="X110" s="44"/>
      <c r="Y110" s="46"/>
      <c r="Z110" s="49"/>
      <c r="AA110" s="44"/>
      <c r="AB110" s="50" t="str">
        <f aca="false">IFERROR(INDEX(TABLA_IVA!$C$3:$C$6,MATCH(AA110,TABLA_IVA!$A$3:$A$6,0)),"")</f>
        <v/>
      </c>
      <c r="AC110" s="47"/>
      <c r="AD110" s="44"/>
      <c r="AE110" s="51"/>
      <c r="AF110" s="52" t="str">
        <f aca="false">IF(OR(AC110="",AE110="",AB110=""),"",IFERROR(AC110/(1-AE110)*(1+AB110),""))</f>
        <v/>
      </c>
      <c r="AG110" s="47"/>
      <c r="AH110" s="52" t="str">
        <f aca="false">IF(AD110="FIJO",IF(AG110="","",AG110),IF(AF110&lt;&gt;"",AF110,IF(AG110="","",AG110)))</f>
        <v/>
      </c>
      <c r="AI110" s="52" t="str">
        <f aca="false">IF(OR(AH110="",AB110=""),"",IFERROR(AH110/(1+AB110),""))</f>
        <v/>
      </c>
      <c r="AJ110" s="50" t="str">
        <f aca="false">IF(OR(AI110="",AC110=""),"",IFERROR((AI110-AC110)/AI110,""))</f>
        <v/>
      </c>
      <c r="AK110" s="53" t="str">
        <f aca="false">IF(OR(AJ110="",AE110=""),"",AJ110-AE110)</f>
        <v/>
      </c>
      <c r="AL110" s="54" t="str">
        <f aca="false">IF(OR(AH110="",AF110=""),"",AH110-AF110)</f>
        <v/>
      </c>
      <c r="AM110" s="55" t="str">
        <f aca="false">IF(OR(A110="",K110&lt;&gt;"SI"),"",IF(AE110="","Sin objetivo",IF(AJ110="","Faltan datos",IF(AJ110&lt;0,"PÉRDIDA",IF(AK110&lt;-UMB_CRITICO,"MUY POR DEBAJO",IF(AK110&lt;-UMB_BAJO,"POR DEBAJO",IF(AK110&lt;-UMB_AJUSTADO,"AJUSTADO",IF(AK110&lt;=UMB_ALTO,"EN OBJETIVO","POR ENCIMA"))))))))</f>
        <v/>
      </c>
      <c r="AN110" s="44"/>
      <c r="AO110" s="44"/>
      <c r="AP110" s="46"/>
      <c r="AQ110" s="46"/>
      <c r="AR110" s="46"/>
      <c r="AS110" s="44"/>
      <c r="AT110" s="44"/>
      <c r="AU110" s="44"/>
      <c r="AV110" s="44"/>
      <c r="AW110" s="44"/>
      <c r="AX110" s="45"/>
      <c r="AY110" s="44"/>
      <c r="AZ110" s="56"/>
      <c r="BA110" s="45"/>
    </row>
    <row r="111" customFormat="false" ht="15" hidden="false" customHeight="false" outlineLevel="0" collapsed="false">
      <c r="A111" s="44"/>
      <c r="B111" s="44"/>
      <c r="C111" s="45"/>
      <c r="D111" s="45"/>
      <c r="E111" s="44"/>
      <c r="F111" s="44"/>
      <c r="G111" s="44"/>
      <c r="H111" s="44"/>
      <c r="I111" s="44"/>
      <c r="J111" s="44"/>
      <c r="K111" s="44"/>
      <c r="L111" s="44"/>
      <c r="M111" s="44"/>
      <c r="N111" s="44"/>
      <c r="O111" s="46"/>
      <c r="P111" s="44"/>
      <c r="Q111" s="46"/>
      <c r="R111" s="44"/>
      <c r="S111" s="45"/>
      <c r="T111" s="44"/>
      <c r="U111" s="44"/>
      <c r="V111" s="47"/>
      <c r="W111" s="48" t="str">
        <f aca="false">IF(V111="","",IFERROR(V111/O111,""))</f>
        <v/>
      </c>
      <c r="X111" s="44"/>
      <c r="Y111" s="46"/>
      <c r="Z111" s="49"/>
      <c r="AA111" s="44"/>
      <c r="AB111" s="50" t="str">
        <f aca="false">IFERROR(INDEX(TABLA_IVA!$C$3:$C$6,MATCH(AA111,TABLA_IVA!$A$3:$A$6,0)),"")</f>
        <v/>
      </c>
      <c r="AC111" s="47"/>
      <c r="AD111" s="44"/>
      <c r="AE111" s="51"/>
      <c r="AF111" s="52" t="str">
        <f aca="false">IF(OR(AC111="",AE111="",AB111=""),"",IFERROR(AC111/(1-AE111)*(1+AB111),""))</f>
        <v/>
      </c>
      <c r="AG111" s="47"/>
      <c r="AH111" s="52" t="str">
        <f aca="false">IF(AD111="FIJO",IF(AG111="","",AG111),IF(AF111&lt;&gt;"",AF111,IF(AG111="","",AG111)))</f>
        <v/>
      </c>
      <c r="AI111" s="52" t="str">
        <f aca="false">IF(OR(AH111="",AB111=""),"",IFERROR(AH111/(1+AB111),""))</f>
        <v/>
      </c>
      <c r="AJ111" s="50" t="str">
        <f aca="false">IF(OR(AI111="",AC111=""),"",IFERROR((AI111-AC111)/AI111,""))</f>
        <v/>
      </c>
      <c r="AK111" s="53" t="str">
        <f aca="false">IF(OR(AJ111="",AE111=""),"",AJ111-AE111)</f>
        <v/>
      </c>
      <c r="AL111" s="54" t="str">
        <f aca="false">IF(OR(AH111="",AF111=""),"",AH111-AF111)</f>
        <v/>
      </c>
      <c r="AM111" s="55" t="str">
        <f aca="false">IF(OR(A111="",K111&lt;&gt;"SI"),"",IF(AE111="","Sin objetivo",IF(AJ111="","Faltan datos",IF(AJ111&lt;0,"PÉRDIDA",IF(AK111&lt;-UMB_CRITICO,"MUY POR DEBAJO",IF(AK111&lt;-UMB_BAJO,"POR DEBAJO",IF(AK111&lt;-UMB_AJUSTADO,"AJUSTADO",IF(AK111&lt;=UMB_ALTO,"EN OBJETIVO","POR ENCIMA"))))))))</f>
        <v/>
      </c>
      <c r="AN111" s="44"/>
      <c r="AO111" s="44"/>
      <c r="AP111" s="46"/>
      <c r="AQ111" s="46"/>
      <c r="AR111" s="46"/>
      <c r="AS111" s="44"/>
      <c r="AT111" s="44"/>
      <c r="AU111" s="44"/>
      <c r="AV111" s="44"/>
      <c r="AW111" s="44"/>
      <c r="AX111" s="45"/>
      <c r="AY111" s="44"/>
      <c r="AZ111" s="56"/>
      <c r="BA111" s="45"/>
    </row>
    <row r="112" customFormat="false" ht="15" hidden="false" customHeight="false" outlineLevel="0" collapsed="false">
      <c r="A112" s="44"/>
      <c r="B112" s="44"/>
      <c r="C112" s="45"/>
      <c r="D112" s="45"/>
      <c r="E112" s="44"/>
      <c r="F112" s="44"/>
      <c r="G112" s="44"/>
      <c r="H112" s="44"/>
      <c r="I112" s="44"/>
      <c r="J112" s="44"/>
      <c r="K112" s="44"/>
      <c r="L112" s="44"/>
      <c r="M112" s="44"/>
      <c r="N112" s="44"/>
      <c r="O112" s="46"/>
      <c r="P112" s="44"/>
      <c r="Q112" s="46"/>
      <c r="R112" s="44"/>
      <c r="S112" s="45"/>
      <c r="T112" s="44"/>
      <c r="U112" s="44"/>
      <c r="V112" s="47"/>
      <c r="W112" s="48" t="str">
        <f aca="false">IF(V112="","",IFERROR(V112/O112,""))</f>
        <v/>
      </c>
      <c r="X112" s="44"/>
      <c r="Y112" s="46"/>
      <c r="Z112" s="49"/>
      <c r="AA112" s="44"/>
      <c r="AB112" s="50" t="str">
        <f aca="false">IFERROR(INDEX(TABLA_IVA!$C$3:$C$6,MATCH(AA112,TABLA_IVA!$A$3:$A$6,0)),"")</f>
        <v/>
      </c>
      <c r="AC112" s="47"/>
      <c r="AD112" s="44"/>
      <c r="AE112" s="51"/>
      <c r="AF112" s="52" t="str">
        <f aca="false">IF(OR(AC112="",AE112="",AB112=""),"",IFERROR(AC112/(1-AE112)*(1+AB112),""))</f>
        <v/>
      </c>
      <c r="AG112" s="47"/>
      <c r="AH112" s="52" t="str">
        <f aca="false">IF(AD112="FIJO",IF(AG112="","",AG112),IF(AF112&lt;&gt;"",AF112,IF(AG112="","",AG112)))</f>
        <v/>
      </c>
      <c r="AI112" s="52" t="str">
        <f aca="false">IF(OR(AH112="",AB112=""),"",IFERROR(AH112/(1+AB112),""))</f>
        <v/>
      </c>
      <c r="AJ112" s="50" t="str">
        <f aca="false">IF(OR(AI112="",AC112=""),"",IFERROR((AI112-AC112)/AI112,""))</f>
        <v/>
      </c>
      <c r="AK112" s="53" t="str">
        <f aca="false">IF(OR(AJ112="",AE112=""),"",AJ112-AE112)</f>
        <v/>
      </c>
      <c r="AL112" s="54" t="str">
        <f aca="false">IF(OR(AH112="",AF112=""),"",AH112-AF112)</f>
        <v/>
      </c>
      <c r="AM112" s="55" t="str">
        <f aca="false">IF(OR(A112="",K112&lt;&gt;"SI"),"",IF(AE112="","Sin objetivo",IF(AJ112="","Faltan datos",IF(AJ112&lt;0,"PÉRDIDA",IF(AK112&lt;-UMB_CRITICO,"MUY POR DEBAJO",IF(AK112&lt;-UMB_BAJO,"POR DEBAJO",IF(AK112&lt;-UMB_AJUSTADO,"AJUSTADO",IF(AK112&lt;=UMB_ALTO,"EN OBJETIVO","POR ENCIMA"))))))))</f>
        <v/>
      </c>
      <c r="AN112" s="44"/>
      <c r="AO112" s="44"/>
      <c r="AP112" s="46"/>
      <c r="AQ112" s="46"/>
      <c r="AR112" s="46"/>
      <c r="AS112" s="44"/>
      <c r="AT112" s="44"/>
      <c r="AU112" s="44"/>
      <c r="AV112" s="44"/>
      <c r="AW112" s="44"/>
      <c r="AX112" s="45"/>
      <c r="AY112" s="44"/>
      <c r="AZ112" s="56"/>
      <c r="BA112" s="45"/>
    </row>
    <row r="113" customFormat="false" ht="15" hidden="false" customHeight="false" outlineLevel="0" collapsed="false">
      <c r="A113" s="44"/>
      <c r="B113" s="44"/>
      <c r="C113" s="45"/>
      <c r="D113" s="45"/>
      <c r="E113" s="44"/>
      <c r="F113" s="44"/>
      <c r="G113" s="44"/>
      <c r="H113" s="44"/>
      <c r="I113" s="44"/>
      <c r="J113" s="44"/>
      <c r="K113" s="44"/>
      <c r="L113" s="44"/>
      <c r="M113" s="44"/>
      <c r="N113" s="44"/>
      <c r="O113" s="46"/>
      <c r="P113" s="44"/>
      <c r="Q113" s="46"/>
      <c r="R113" s="44"/>
      <c r="S113" s="45"/>
      <c r="T113" s="44"/>
      <c r="U113" s="44"/>
      <c r="V113" s="47"/>
      <c r="W113" s="48" t="str">
        <f aca="false">IF(V113="","",IFERROR(V113/O113,""))</f>
        <v/>
      </c>
      <c r="X113" s="44"/>
      <c r="Y113" s="46"/>
      <c r="Z113" s="49"/>
      <c r="AA113" s="44"/>
      <c r="AB113" s="50" t="str">
        <f aca="false">IFERROR(INDEX(TABLA_IVA!$C$3:$C$6,MATCH(AA113,TABLA_IVA!$A$3:$A$6,0)),"")</f>
        <v/>
      </c>
      <c r="AC113" s="47"/>
      <c r="AD113" s="44"/>
      <c r="AE113" s="51"/>
      <c r="AF113" s="52" t="str">
        <f aca="false">IF(OR(AC113="",AE113="",AB113=""),"",IFERROR(AC113/(1-AE113)*(1+AB113),""))</f>
        <v/>
      </c>
      <c r="AG113" s="47"/>
      <c r="AH113" s="52" t="str">
        <f aca="false">IF(AD113="FIJO",IF(AG113="","",AG113),IF(AF113&lt;&gt;"",AF113,IF(AG113="","",AG113)))</f>
        <v/>
      </c>
      <c r="AI113" s="52" t="str">
        <f aca="false">IF(OR(AH113="",AB113=""),"",IFERROR(AH113/(1+AB113),""))</f>
        <v/>
      </c>
      <c r="AJ113" s="50" t="str">
        <f aca="false">IF(OR(AI113="",AC113=""),"",IFERROR((AI113-AC113)/AI113,""))</f>
        <v/>
      </c>
      <c r="AK113" s="53" t="str">
        <f aca="false">IF(OR(AJ113="",AE113=""),"",AJ113-AE113)</f>
        <v/>
      </c>
      <c r="AL113" s="54" t="str">
        <f aca="false">IF(OR(AH113="",AF113=""),"",AH113-AF113)</f>
        <v/>
      </c>
      <c r="AM113" s="55" t="str">
        <f aca="false">IF(OR(A113="",K113&lt;&gt;"SI"),"",IF(AE113="","Sin objetivo",IF(AJ113="","Faltan datos",IF(AJ113&lt;0,"PÉRDIDA",IF(AK113&lt;-UMB_CRITICO,"MUY POR DEBAJO",IF(AK113&lt;-UMB_BAJO,"POR DEBAJO",IF(AK113&lt;-UMB_AJUSTADO,"AJUSTADO",IF(AK113&lt;=UMB_ALTO,"EN OBJETIVO","POR ENCIMA"))))))))</f>
        <v/>
      </c>
      <c r="AN113" s="44"/>
      <c r="AO113" s="44"/>
      <c r="AP113" s="46"/>
      <c r="AQ113" s="46"/>
      <c r="AR113" s="46"/>
      <c r="AS113" s="44"/>
      <c r="AT113" s="44"/>
      <c r="AU113" s="44"/>
      <c r="AV113" s="44"/>
      <c r="AW113" s="44"/>
      <c r="AX113" s="45"/>
      <c r="AY113" s="44"/>
      <c r="AZ113" s="56"/>
      <c r="BA113" s="45"/>
    </row>
    <row r="114" customFormat="false" ht="15" hidden="false" customHeight="false" outlineLevel="0" collapsed="false">
      <c r="A114" s="44"/>
      <c r="B114" s="44"/>
      <c r="C114" s="45"/>
      <c r="D114" s="45"/>
      <c r="E114" s="44"/>
      <c r="F114" s="44"/>
      <c r="G114" s="44"/>
      <c r="H114" s="44"/>
      <c r="I114" s="44"/>
      <c r="J114" s="44"/>
      <c r="K114" s="44"/>
      <c r="L114" s="44"/>
      <c r="M114" s="44"/>
      <c r="N114" s="44"/>
      <c r="O114" s="46"/>
      <c r="P114" s="44"/>
      <c r="Q114" s="46"/>
      <c r="R114" s="44"/>
      <c r="S114" s="45"/>
      <c r="T114" s="44"/>
      <c r="U114" s="44"/>
      <c r="V114" s="47"/>
      <c r="W114" s="48" t="str">
        <f aca="false">IF(V114="","",IFERROR(V114/O114,""))</f>
        <v/>
      </c>
      <c r="X114" s="44"/>
      <c r="Y114" s="46"/>
      <c r="Z114" s="49"/>
      <c r="AA114" s="44"/>
      <c r="AB114" s="50" t="str">
        <f aca="false">IFERROR(INDEX(TABLA_IVA!$C$3:$C$6,MATCH(AA114,TABLA_IVA!$A$3:$A$6,0)),"")</f>
        <v/>
      </c>
      <c r="AC114" s="47"/>
      <c r="AD114" s="44"/>
      <c r="AE114" s="51"/>
      <c r="AF114" s="52" t="str">
        <f aca="false">IF(OR(AC114="",AE114="",AB114=""),"",IFERROR(AC114/(1-AE114)*(1+AB114),""))</f>
        <v/>
      </c>
      <c r="AG114" s="47"/>
      <c r="AH114" s="52" t="str">
        <f aca="false">IF(AD114="FIJO",IF(AG114="","",AG114),IF(AF114&lt;&gt;"",AF114,IF(AG114="","",AG114)))</f>
        <v/>
      </c>
      <c r="AI114" s="52" t="str">
        <f aca="false">IF(OR(AH114="",AB114=""),"",IFERROR(AH114/(1+AB114),""))</f>
        <v/>
      </c>
      <c r="AJ114" s="50" t="str">
        <f aca="false">IF(OR(AI114="",AC114=""),"",IFERROR((AI114-AC114)/AI114,""))</f>
        <v/>
      </c>
      <c r="AK114" s="53" t="str">
        <f aca="false">IF(OR(AJ114="",AE114=""),"",AJ114-AE114)</f>
        <v/>
      </c>
      <c r="AL114" s="54" t="str">
        <f aca="false">IF(OR(AH114="",AF114=""),"",AH114-AF114)</f>
        <v/>
      </c>
      <c r="AM114" s="55" t="str">
        <f aca="false">IF(OR(A114="",K114&lt;&gt;"SI"),"",IF(AE114="","Sin objetivo",IF(AJ114="","Faltan datos",IF(AJ114&lt;0,"PÉRDIDA",IF(AK114&lt;-UMB_CRITICO,"MUY POR DEBAJO",IF(AK114&lt;-UMB_BAJO,"POR DEBAJO",IF(AK114&lt;-UMB_AJUSTADO,"AJUSTADO",IF(AK114&lt;=UMB_ALTO,"EN OBJETIVO","POR ENCIMA"))))))))</f>
        <v/>
      </c>
      <c r="AN114" s="44"/>
      <c r="AO114" s="44"/>
      <c r="AP114" s="46"/>
      <c r="AQ114" s="46"/>
      <c r="AR114" s="46"/>
      <c r="AS114" s="44"/>
      <c r="AT114" s="44"/>
      <c r="AU114" s="44"/>
      <c r="AV114" s="44"/>
      <c r="AW114" s="44"/>
      <c r="AX114" s="45"/>
      <c r="AY114" s="44"/>
      <c r="AZ114" s="56"/>
      <c r="BA114" s="45"/>
    </row>
    <row r="115" customFormat="false" ht="15" hidden="false" customHeight="false" outlineLevel="0" collapsed="false">
      <c r="A115" s="44"/>
      <c r="B115" s="44"/>
      <c r="C115" s="45"/>
      <c r="D115" s="45"/>
      <c r="E115" s="44"/>
      <c r="F115" s="44"/>
      <c r="G115" s="44"/>
      <c r="H115" s="44"/>
      <c r="I115" s="44"/>
      <c r="J115" s="44"/>
      <c r="K115" s="44"/>
      <c r="L115" s="44"/>
      <c r="M115" s="44"/>
      <c r="N115" s="44"/>
      <c r="O115" s="46"/>
      <c r="P115" s="44"/>
      <c r="Q115" s="46"/>
      <c r="R115" s="44"/>
      <c r="S115" s="45"/>
      <c r="T115" s="44"/>
      <c r="U115" s="44"/>
      <c r="V115" s="47"/>
      <c r="W115" s="48" t="str">
        <f aca="false">IF(V115="","",IFERROR(V115/O115,""))</f>
        <v/>
      </c>
      <c r="X115" s="44"/>
      <c r="Y115" s="46"/>
      <c r="Z115" s="49"/>
      <c r="AA115" s="44"/>
      <c r="AB115" s="50" t="str">
        <f aca="false">IFERROR(INDEX(TABLA_IVA!$C$3:$C$6,MATCH(AA115,TABLA_IVA!$A$3:$A$6,0)),"")</f>
        <v/>
      </c>
      <c r="AC115" s="47"/>
      <c r="AD115" s="44"/>
      <c r="AE115" s="51"/>
      <c r="AF115" s="52" t="str">
        <f aca="false">IF(OR(AC115="",AE115="",AB115=""),"",IFERROR(AC115/(1-AE115)*(1+AB115),""))</f>
        <v/>
      </c>
      <c r="AG115" s="47"/>
      <c r="AH115" s="52" t="str">
        <f aca="false">IF(AD115="FIJO",IF(AG115="","",AG115),IF(AF115&lt;&gt;"",AF115,IF(AG115="","",AG115)))</f>
        <v/>
      </c>
      <c r="AI115" s="52" t="str">
        <f aca="false">IF(OR(AH115="",AB115=""),"",IFERROR(AH115/(1+AB115),""))</f>
        <v/>
      </c>
      <c r="AJ115" s="50" t="str">
        <f aca="false">IF(OR(AI115="",AC115=""),"",IFERROR((AI115-AC115)/AI115,""))</f>
        <v/>
      </c>
      <c r="AK115" s="53" t="str">
        <f aca="false">IF(OR(AJ115="",AE115=""),"",AJ115-AE115)</f>
        <v/>
      </c>
      <c r="AL115" s="54" t="str">
        <f aca="false">IF(OR(AH115="",AF115=""),"",AH115-AF115)</f>
        <v/>
      </c>
      <c r="AM115" s="55" t="str">
        <f aca="false">IF(OR(A115="",K115&lt;&gt;"SI"),"",IF(AE115="","Sin objetivo",IF(AJ115="","Faltan datos",IF(AJ115&lt;0,"PÉRDIDA",IF(AK115&lt;-UMB_CRITICO,"MUY POR DEBAJO",IF(AK115&lt;-UMB_BAJO,"POR DEBAJO",IF(AK115&lt;-UMB_AJUSTADO,"AJUSTADO",IF(AK115&lt;=UMB_ALTO,"EN OBJETIVO","POR ENCIMA"))))))))</f>
        <v/>
      </c>
      <c r="AN115" s="44"/>
      <c r="AO115" s="44"/>
      <c r="AP115" s="46"/>
      <c r="AQ115" s="46"/>
      <c r="AR115" s="46"/>
      <c r="AS115" s="44"/>
      <c r="AT115" s="44"/>
      <c r="AU115" s="44"/>
      <c r="AV115" s="44"/>
      <c r="AW115" s="44"/>
      <c r="AX115" s="45"/>
      <c r="AY115" s="44"/>
      <c r="AZ115" s="56"/>
      <c r="BA115" s="45"/>
    </row>
    <row r="116" customFormat="false" ht="15" hidden="false" customHeight="false" outlineLevel="0" collapsed="false">
      <c r="A116" s="44"/>
      <c r="B116" s="44"/>
      <c r="C116" s="45"/>
      <c r="D116" s="45"/>
      <c r="E116" s="44"/>
      <c r="F116" s="44"/>
      <c r="G116" s="44"/>
      <c r="H116" s="44"/>
      <c r="I116" s="44"/>
      <c r="J116" s="44"/>
      <c r="K116" s="44"/>
      <c r="L116" s="44"/>
      <c r="M116" s="44"/>
      <c r="N116" s="44"/>
      <c r="O116" s="46"/>
      <c r="P116" s="44"/>
      <c r="Q116" s="46"/>
      <c r="R116" s="44"/>
      <c r="S116" s="45"/>
      <c r="T116" s="44"/>
      <c r="U116" s="44"/>
      <c r="V116" s="47"/>
      <c r="W116" s="48" t="str">
        <f aca="false">IF(V116="","",IFERROR(V116/O116,""))</f>
        <v/>
      </c>
      <c r="X116" s="44"/>
      <c r="Y116" s="46"/>
      <c r="Z116" s="49"/>
      <c r="AA116" s="44"/>
      <c r="AB116" s="50" t="str">
        <f aca="false">IFERROR(INDEX(TABLA_IVA!$C$3:$C$6,MATCH(AA116,TABLA_IVA!$A$3:$A$6,0)),"")</f>
        <v/>
      </c>
      <c r="AC116" s="47"/>
      <c r="AD116" s="44"/>
      <c r="AE116" s="51"/>
      <c r="AF116" s="52" t="str">
        <f aca="false">IF(OR(AC116="",AE116="",AB116=""),"",IFERROR(AC116/(1-AE116)*(1+AB116),""))</f>
        <v/>
      </c>
      <c r="AG116" s="47"/>
      <c r="AH116" s="52" t="str">
        <f aca="false">IF(AD116="FIJO",IF(AG116="","",AG116),IF(AF116&lt;&gt;"",AF116,IF(AG116="","",AG116)))</f>
        <v/>
      </c>
      <c r="AI116" s="52" t="str">
        <f aca="false">IF(OR(AH116="",AB116=""),"",IFERROR(AH116/(1+AB116),""))</f>
        <v/>
      </c>
      <c r="AJ116" s="50" t="str">
        <f aca="false">IF(OR(AI116="",AC116=""),"",IFERROR((AI116-AC116)/AI116,""))</f>
        <v/>
      </c>
      <c r="AK116" s="53" t="str">
        <f aca="false">IF(OR(AJ116="",AE116=""),"",AJ116-AE116)</f>
        <v/>
      </c>
      <c r="AL116" s="54" t="str">
        <f aca="false">IF(OR(AH116="",AF116=""),"",AH116-AF116)</f>
        <v/>
      </c>
      <c r="AM116" s="55" t="str">
        <f aca="false">IF(OR(A116="",K116&lt;&gt;"SI"),"",IF(AE116="","Sin objetivo",IF(AJ116="","Faltan datos",IF(AJ116&lt;0,"PÉRDIDA",IF(AK116&lt;-UMB_CRITICO,"MUY POR DEBAJO",IF(AK116&lt;-UMB_BAJO,"POR DEBAJO",IF(AK116&lt;-UMB_AJUSTADO,"AJUSTADO",IF(AK116&lt;=UMB_ALTO,"EN OBJETIVO","POR ENCIMA"))))))))</f>
        <v/>
      </c>
      <c r="AN116" s="44"/>
      <c r="AO116" s="44"/>
      <c r="AP116" s="46"/>
      <c r="AQ116" s="46"/>
      <c r="AR116" s="46"/>
      <c r="AS116" s="44"/>
      <c r="AT116" s="44"/>
      <c r="AU116" s="44"/>
      <c r="AV116" s="44"/>
      <c r="AW116" s="44"/>
      <c r="AX116" s="45"/>
      <c r="AY116" s="44"/>
      <c r="AZ116" s="56"/>
      <c r="BA116" s="45"/>
    </row>
    <row r="117" customFormat="false" ht="15" hidden="false" customHeight="false" outlineLevel="0" collapsed="false">
      <c r="A117" s="44"/>
      <c r="B117" s="44"/>
      <c r="C117" s="45"/>
      <c r="D117" s="45"/>
      <c r="E117" s="44"/>
      <c r="F117" s="44"/>
      <c r="G117" s="44"/>
      <c r="H117" s="44"/>
      <c r="I117" s="44"/>
      <c r="J117" s="44"/>
      <c r="K117" s="44"/>
      <c r="L117" s="44"/>
      <c r="M117" s="44"/>
      <c r="N117" s="44"/>
      <c r="O117" s="46"/>
      <c r="P117" s="44"/>
      <c r="Q117" s="46"/>
      <c r="R117" s="44"/>
      <c r="S117" s="45"/>
      <c r="T117" s="44"/>
      <c r="U117" s="44"/>
      <c r="V117" s="47"/>
      <c r="W117" s="48" t="str">
        <f aca="false">IF(V117="","",IFERROR(V117/O117,""))</f>
        <v/>
      </c>
      <c r="X117" s="44"/>
      <c r="Y117" s="46"/>
      <c r="Z117" s="49"/>
      <c r="AA117" s="44"/>
      <c r="AB117" s="50" t="str">
        <f aca="false">IFERROR(INDEX(TABLA_IVA!$C$3:$C$6,MATCH(AA117,TABLA_IVA!$A$3:$A$6,0)),"")</f>
        <v/>
      </c>
      <c r="AC117" s="47"/>
      <c r="AD117" s="44"/>
      <c r="AE117" s="51"/>
      <c r="AF117" s="52" t="str">
        <f aca="false">IF(OR(AC117="",AE117="",AB117=""),"",IFERROR(AC117/(1-AE117)*(1+AB117),""))</f>
        <v/>
      </c>
      <c r="AG117" s="47"/>
      <c r="AH117" s="52" t="str">
        <f aca="false">IF(AD117="FIJO",IF(AG117="","",AG117),IF(AF117&lt;&gt;"",AF117,IF(AG117="","",AG117)))</f>
        <v/>
      </c>
      <c r="AI117" s="52" t="str">
        <f aca="false">IF(OR(AH117="",AB117=""),"",IFERROR(AH117/(1+AB117),""))</f>
        <v/>
      </c>
      <c r="AJ117" s="50" t="str">
        <f aca="false">IF(OR(AI117="",AC117=""),"",IFERROR((AI117-AC117)/AI117,""))</f>
        <v/>
      </c>
      <c r="AK117" s="53" t="str">
        <f aca="false">IF(OR(AJ117="",AE117=""),"",AJ117-AE117)</f>
        <v/>
      </c>
      <c r="AL117" s="54" t="str">
        <f aca="false">IF(OR(AH117="",AF117=""),"",AH117-AF117)</f>
        <v/>
      </c>
      <c r="AM117" s="55" t="str">
        <f aca="false">IF(OR(A117="",K117&lt;&gt;"SI"),"",IF(AE117="","Sin objetivo",IF(AJ117="","Faltan datos",IF(AJ117&lt;0,"PÉRDIDA",IF(AK117&lt;-UMB_CRITICO,"MUY POR DEBAJO",IF(AK117&lt;-UMB_BAJO,"POR DEBAJO",IF(AK117&lt;-UMB_AJUSTADO,"AJUSTADO",IF(AK117&lt;=UMB_ALTO,"EN OBJETIVO","POR ENCIMA"))))))))</f>
        <v/>
      </c>
      <c r="AN117" s="44"/>
      <c r="AO117" s="44"/>
      <c r="AP117" s="46"/>
      <c r="AQ117" s="46"/>
      <c r="AR117" s="46"/>
      <c r="AS117" s="44"/>
      <c r="AT117" s="44"/>
      <c r="AU117" s="44"/>
      <c r="AV117" s="44"/>
      <c r="AW117" s="44"/>
      <c r="AX117" s="45"/>
      <c r="AY117" s="44"/>
      <c r="AZ117" s="56"/>
      <c r="BA117" s="45"/>
    </row>
    <row r="118" customFormat="false" ht="15" hidden="false" customHeight="false" outlineLevel="0" collapsed="false">
      <c r="A118" s="44"/>
      <c r="B118" s="44"/>
      <c r="C118" s="45"/>
      <c r="D118" s="45"/>
      <c r="E118" s="44"/>
      <c r="F118" s="44"/>
      <c r="G118" s="44"/>
      <c r="H118" s="44"/>
      <c r="I118" s="44"/>
      <c r="J118" s="44"/>
      <c r="K118" s="44"/>
      <c r="L118" s="44"/>
      <c r="M118" s="44"/>
      <c r="N118" s="44"/>
      <c r="O118" s="46"/>
      <c r="P118" s="44"/>
      <c r="Q118" s="46"/>
      <c r="R118" s="44"/>
      <c r="S118" s="45"/>
      <c r="T118" s="44"/>
      <c r="U118" s="44"/>
      <c r="V118" s="47"/>
      <c r="W118" s="48" t="str">
        <f aca="false">IF(V118="","",IFERROR(V118/O118,""))</f>
        <v/>
      </c>
      <c r="X118" s="44"/>
      <c r="Y118" s="46"/>
      <c r="Z118" s="49"/>
      <c r="AA118" s="44"/>
      <c r="AB118" s="50" t="str">
        <f aca="false">IFERROR(INDEX(TABLA_IVA!$C$3:$C$6,MATCH(AA118,TABLA_IVA!$A$3:$A$6,0)),"")</f>
        <v/>
      </c>
      <c r="AC118" s="47"/>
      <c r="AD118" s="44"/>
      <c r="AE118" s="51"/>
      <c r="AF118" s="52" t="str">
        <f aca="false">IF(OR(AC118="",AE118="",AB118=""),"",IFERROR(AC118/(1-AE118)*(1+AB118),""))</f>
        <v/>
      </c>
      <c r="AG118" s="47"/>
      <c r="AH118" s="52" t="str">
        <f aca="false">IF(AD118="FIJO",IF(AG118="","",AG118),IF(AF118&lt;&gt;"",AF118,IF(AG118="","",AG118)))</f>
        <v/>
      </c>
      <c r="AI118" s="52" t="str">
        <f aca="false">IF(OR(AH118="",AB118=""),"",IFERROR(AH118/(1+AB118),""))</f>
        <v/>
      </c>
      <c r="AJ118" s="50" t="str">
        <f aca="false">IF(OR(AI118="",AC118=""),"",IFERROR((AI118-AC118)/AI118,""))</f>
        <v/>
      </c>
      <c r="AK118" s="53" t="str">
        <f aca="false">IF(OR(AJ118="",AE118=""),"",AJ118-AE118)</f>
        <v/>
      </c>
      <c r="AL118" s="54" t="str">
        <f aca="false">IF(OR(AH118="",AF118=""),"",AH118-AF118)</f>
        <v/>
      </c>
      <c r="AM118" s="55" t="str">
        <f aca="false">IF(OR(A118="",K118&lt;&gt;"SI"),"",IF(AE118="","Sin objetivo",IF(AJ118="","Faltan datos",IF(AJ118&lt;0,"PÉRDIDA",IF(AK118&lt;-UMB_CRITICO,"MUY POR DEBAJO",IF(AK118&lt;-UMB_BAJO,"POR DEBAJO",IF(AK118&lt;-UMB_AJUSTADO,"AJUSTADO",IF(AK118&lt;=UMB_ALTO,"EN OBJETIVO","POR ENCIMA"))))))))</f>
        <v/>
      </c>
      <c r="AN118" s="44"/>
      <c r="AO118" s="44"/>
      <c r="AP118" s="46"/>
      <c r="AQ118" s="46"/>
      <c r="AR118" s="46"/>
      <c r="AS118" s="44"/>
      <c r="AT118" s="44"/>
      <c r="AU118" s="44"/>
      <c r="AV118" s="44"/>
      <c r="AW118" s="44"/>
      <c r="AX118" s="45"/>
      <c r="AY118" s="44"/>
      <c r="AZ118" s="56"/>
      <c r="BA118" s="45"/>
    </row>
    <row r="119" customFormat="false" ht="15" hidden="false" customHeight="false" outlineLevel="0" collapsed="false">
      <c r="A119" s="44"/>
      <c r="B119" s="44"/>
      <c r="C119" s="45"/>
      <c r="D119" s="45"/>
      <c r="E119" s="44"/>
      <c r="F119" s="44"/>
      <c r="G119" s="44"/>
      <c r="H119" s="44"/>
      <c r="I119" s="44"/>
      <c r="J119" s="44"/>
      <c r="K119" s="44"/>
      <c r="L119" s="44"/>
      <c r="M119" s="44"/>
      <c r="N119" s="44"/>
      <c r="O119" s="46"/>
      <c r="P119" s="44"/>
      <c r="Q119" s="46"/>
      <c r="R119" s="44"/>
      <c r="S119" s="45"/>
      <c r="T119" s="44"/>
      <c r="U119" s="44"/>
      <c r="V119" s="47"/>
      <c r="W119" s="48" t="str">
        <f aca="false">IF(V119="","",IFERROR(V119/O119,""))</f>
        <v/>
      </c>
      <c r="X119" s="44"/>
      <c r="Y119" s="46"/>
      <c r="Z119" s="49"/>
      <c r="AA119" s="44"/>
      <c r="AB119" s="50" t="str">
        <f aca="false">IFERROR(INDEX(TABLA_IVA!$C$3:$C$6,MATCH(AA119,TABLA_IVA!$A$3:$A$6,0)),"")</f>
        <v/>
      </c>
      <c r="AC119" s="47"/>
      <c r="AD119" s="44"/>
      <c r="AE119" s="51"/>
      <c r="AF119" s="52" t="str">
        <f aca="false">IF(OR(AC119="",AE119="",AB119=""),"",IFERROR(AC119/(1-AE119)*(1+AB119),""))</f>
        <v/>
      </c>
      <c r="AG119" s="47"/>
      <c r="AH119" s="52" t="str">
        <f aca="false">IF(AD119="FIJO",IF(AG119="","",AG119),IF(AF119&lt;&gt;"",AF119,IF(AG119="","",AG119)))</f>
        <v/>
      </c>
      <c r="AI119" s="52" t="str">
        <f aca="false">IF(OR(AH119="",AB119=""),"",IFERROR(AH119/(1+AB119),""))</f>
        <v/>
      </c>
      <c r="AJ119" s="50" t="str">
        <f aca="false">IF(OR(AI119="",AC119=""),"",IFERROR((AI119-AC119)/AI119,""))</f>
        <v/>
      </c>
      <c r="AK119" s="53" t="str">
        <f aca="false">IF(OR(AJ119="",AE119=""),"",AJ119-AE119)</f>
        <v/>
      </c>
      <c r="AL119" s="54" t="str">
        <f aca="false">IF(OR(AH119="",AF119=""),"",AH119-AF119)</f>
        <v/>
      </c>
      <c r="AM119" s="55" t="str">
        <f aca="false">IF(OR(A119="",K119&lt;&gt;"SI"),"",IF(AE119="","Sin objetivo",IF(AJ119="","Faltan datos",IF(AJ119&lt;0,"PÉRDIDA",IF(AK119&lt;-UMB_CRITICO,"MUY POR DEBAJO",IF(AK119&lt;-UMB_BAJO,"POR DEBAJO",IF(AK119&lt;-UMB_AJUSTADO,"AJUSTADO",IF(AK119&lt;=UMB_ALTO,"EN OBJETIVO","POR ENCIMA"))))))))</f>
        <v/>
      </c>
      <c r="AN119" s="44"/>
      <c r="AO119" s="44"/>
      <c r="AP119" s="46"/>
      <c r="AQ119" s="46"/>
      <c r="AR119" s="46"/>
      <c r="AS119" s="44"/>
      <c r="AT119" s="44"/>
      <c r="AU119" s="44"/>
      <c r="AV119" s="44"/>
      <c r="AW119" s="44"/>
      <c r="AX119" s="45"/>
      <c r="AY119" s="44"/>
      <c r="AZ119" s="56"/>
      <c r="BA119" s="45"/>
    </row>
    <row r="120" customFormat="false" ht="15" hidden="false" customHeight="false" outlineLevel="0" collapsed="false">
      <c r="A120" s="44"/>
      <c r="B120" s="44"/>
      <c r="C120" s="45"/>
      <c r="D120" s="45"/>
      <c r="E120" s="44"/>
      <c r="F120" s="44"/>
      <c r="G120" s="44"/>
      <c r="H120" s="44"/>
      <c r="I120" s="44"/>
      <c r="J120" s="44"/>
      <c r="K120" s="44"/>
      <c r="L120" s="44"/>
      <c r="M120" s="44"/>
      <c r="N120" s="44"/>
      <c r="O120" s="46"/>
      <c r="P120" s="44"/>
      <c r="Q120" s="46"/>
      <c r="R120" s="44"/>
      <c r="S120" s="45"/>
      <c r="T120" s="44"/>
      <c r="U120" s="44"/>
      <c r="V120" s="47"/>
      <c r="W120" s="48" t="str">
        <f aca="false">IF(V120="","",IFERROR(V120/O120,""))</f>
        <v/>
      </c>
      <c r="X120" s="44"/>
      <c r="Y120" s="46"/>
      <c r="Z120" s="49"/>
      <c r="AA120" s="44"/>
      <c r="AB120" s="50" t="str">
        <f aca="false">IFERROR(INDEX(TABLA_IVA!$C$3:$C$6,MATCH(AA120,TABLA_IVA!$A$3:$A$6,0)),"")</f>
        <v/>
      </c>
      <c r="AC120" s="47"/>
      <c r="AD120" s="44"/>
      <c r="AE120" s="51"/>
      <c r="AF120" s="52" t="str">
        <f aca="false">IF(OR(AC120="",AE120="",AB120=""),"",IFERROR(AC120/(1-AE120)*(1+AB120),""))</f>
        <v/>
      </c>
      <c r="AG120" s="47"/>
      <c r="AH120" s="52" t="str">
        <f aca="false">IF(AD120="FIJO",IF(AG120="","",AG120),IF(AF120&lt;&gt;"",AF120,IF(AG120="","",AG120)))</f>
        <v/>
      </c>
      <c r="AI120" s="52" t="str">
        <f aca="false">IF(OR(AH120="",AB120=""),"",IFERROR(AH120/(1+AB120),""))</f>
        <v/>
      </c>
      <c r="AJ120" s="50" t="str">
        <f aca="false">IF(OR(AI120="",AC120=""),"",IFERROR((AI120-AC120)/AI120,""))</f>
        <v/>
      </c>
      <c r="AK120" s="53" t="str">
        <f aca="false">IF(OR(AJ120="",AE120=""),"",AJ120-AE120)</f>
        <v/>
      </c>
      <c r="AL120" s="54" t="str">
        <f aca="false">IF(OR(AH120="",AF120=""),"",AH120-AF120)</f>
        <v/>
      </c>
      <c r="AM120" s="55" t="str">
        <f aca="false">IF(OR(A120="",K120&lt;&gt;"SI"),"",IF(AE120="","Sin objetivo",IF(AJ120="","Faltan datos",IF(AJ120&lt;0,"PÉRDIDA",IF(AK120&lt;-UMB_CRITICO,"MUY POR DEBAJO",IF(AK120&lt;-UMB_BAJO,"POR DEBAJO",IF(AK120&lt;-UMB_AJUSTADO,"AJUSTADO",IF(AK120&lt;=UMB_ALTO,"EN OBJETIVO","POR ENCIMA"))))))))</f>
        <v/>
      </c>
      <c r="AN120" s="44"/>
      <c r="AO120" s="44"/>
      <c r="AP120" s="46"/>
      <c r="AQ120" s="46"/>
      <c r="AR120" s="46"/>
      <c r="AS120" s="44"/>
      <c r="AT120" s="44"/>
      <c r="AU120" s="44"/>
      <c r="AV120" s="44"/>
      <c r="AW120" s="44"/>
      <c r="AX120" s="45"/>
      <c r="AY120" s="44"/>
      <c r="AZ120" s="56"/>
      <c r="BA120" s="45"/>
    </row>
    <row r="121" customFormat="false" ht="15" hidden="false" customHeight="false" outlineLevel="0" collapsed="false">
      <c r="A121" s="44"/>
      <c r="B121" s="44"/>
      <c r="C121" s="45"/>
      <c r="D121" s="45"/>
      <c r="E121" s="44"/>
      <c r="F121" s="44"/>
      <c r="G121" s="44"/>
      <c r="H121" s="44"/>
      <c r="I121" s="44"/>
      <c r="J121" s="44"/>
      <c r="K121" s="44"/>
      <c r="L121" s="44"/>
      <c r="M121" s="44"/>
      <c r="N121" s="44"/>
      <c r="O121" s="46"/>
      <c r="P121" s="44"/>
      <c r="Q121" s="46"/>
      <c r="R121" s="44"/>
      <c r="S121" s="45"/>
      <c r="T121" s="44"/>
      <c r="U121" s="44"/>
      <c r="V121" s="47"/>
      <c r="W121" s="48" t="str">
        <f aca="false">IF(V121="","",IFERROR(V121/O121,""))</f>
        <v/>
      </c>
      <c r="X121" s="44"/>
      <c r="Y121" s="46"/>
      <c r="Z121" s="49"/>
      <c r="AA121" s="44"/>
      <c r="AB121" s="50" t="str">
        <f aca="false">IFERROR(INDEX(TABLA_IVA!$C$3:$C$6,MATCH(AA121,TABLA_IVA!$A$3:$A$6,0)),"")</f>
        <v/>
      </c>
      <c r="AC121" s="47"/>
      <c r="AD121" s="44"/>
      <c r="AE121" s="51"/>
      <c r="AF121" s="52" t="str">
        <f aca="false">IF(OR(AC121="",AE121="",AB121=""),"",IFERROR(AC121/(1-AE121)*(1+AB121),""))</f>
        <v/>
      </c>
      <c r="AG121" s="47"/>
      <c r="AH121" s="52" t="str">
        <f aca="false">IF(AD121="FIJO",IF(AG121="","",AG121),IF(AF121&lt;&gt;"",AF121,IF(AG121="","",AG121)))</f>
        <v/>
      </c>
      <c r="AI121" s="52" t="str">
        <f aca="false">IF(OR(AH121="",AB121=""),"",IFERROR(AH121/(1+AB121),""))</f>
        <v/>
      </c>
      <c r="AJ121" s="50" t="str">
        <f aca="false">IF(OR(AI121="",AC121=""),"",IFERROR((AI121-AC121)/AI121,""))</f>
        <v/>
      </c>
      <c r="AK121" s="53" t="str">
        <f aca="false">IF(OR(AJ121="",AE121=""),"",AJ121-AE121)</f>
        <v/>
      </c>
      <c r="AL121" s="54" t="str">
        <f aca="false">IF(OR(AH121="",AF121=""),"",AH121-AF121)</f>
        <v/>
      </c>
      <c r="AM121" s="55" t="str">
        <f aca="false">IF(OR(A121="",K121&lt;&gt;"SI"),"",IF(AE121="","Sin objetivo",IF(AJ121="","Faltan datos",IF(AJ121&lt;0,"PÉRDIDA",IF(AK121&lt;-UMB_CRITICO,"MUY POR DEBAJO",IF(AK121&lt;-UMB_BAJO,"POR DEBAJO",IF(AK121&lt;-UMB_AJUSTADO,"AJUSTADO",IF(AK121&lt;=UMB_ALTO,"EN OBJETIVO","POR ENCIMA"))))))))</f>
        <v/>
      </c>
      <c r="AN121" s="44"/>
      <c r="AO121" s="44"/>
      <c r="AP121" s="46"/>
      <c r="AQ121" s="46"/>
      <c r="AR121" s="46"/>
      <c r="AS121" s="44"/>
      <c r="AT121" s="44"/>
      <c r="AU121" s="44"/>
      <c r="AV121" s="44"/>
      <c r="AW121" s="44"/>
      <c r="AX121" s="45"/>
      <c r="AY121" s="44"/>
      <c r="AZ121" s="56"/>
      <c r="BA121" s="45"/>
    </row>
    <row r="122" customFormat="false" ht="15" hidden="false" customHeight="false" outlineLevel="0" collapsed="false">
      <c r="A122" s="44"/>
      <c r="B122" s="44"/>
      <c r="C122" s="45"/>
      <c r="D122" s="45"/>
      <c r="E122" s="44"/>
      <c r="F122" s="44"/>
      <c r="G122" s="44"/>
      <c r="H122" s="44"/>
      <c r="I122" s="44"/>
      <c r="J122" s="44"/>
      <c r="K122" s="44"/>
      <c r="L122" s="44"/>
      <c r="M122" s="44"/>
      <c r="N122" s="44"/>
      <c r="O122" s="46"/>
      <c r="P122" s="44"/>
      <c r="Q122" s="46"/>
      <c r="R122" s="44"/>
      <c r="S122" s="45"/>
      <c r="T122" s="44"/>
      <c r="U122" s="44"/>
      <c r="V122" s="47"/>
      <c r="W122" s="48" t="str">
        <f aca="false">IF(V122="","",IFERROR(V122/O122,""))</f>
        <v/>
      </c>
      <c r="X122" s="44"/>
      <c r="Y122" s="46"/>
      <c r="Z122" s="49"/>
      <c r="AA122" s="44"/>
      <c r="AB122" s="50" t="str">
        <f aca="false">IFERROR(INDEX(TABLA_IVA!$C$3:$C$6,MATCH(AA122,TABLA_IVA!$A$3:$A$6,0)),"")</f>
        <v/>
      </c>
      <c r="AC122" s="47"/>
      <c r="AD122" s="44"/>
      <c r="AE122" s="51"/>
      <c r="AF122" s="52" t="str">
        <f aca="false">IF(OR(AC122="",AE122="",AB122=""),"",IFERROR(AC122/(1-AE122)*(1+AB122),""))</f>
        <v/>
      </c>
      <c r="AG122" s="47"/>
      <c r="AH122" s="52" t="str">
        <f aca="false">IF(AD122="FIJO",IF(AG122="","",AG122),IF(AF122&lt;&gt;"",AF122,IF(AG122="","",AG122)))</f>
        <v/>
      </c>
      <c r="AI122" s="52" t="str">
        <f aca="false">IF(OR(AH122="",AB122=""),"",IFERROR(AH122/(1+AB122),""))</f>
        <v/>
      </c>
      <c r="AJ122" s="50" t="str">
        <f aca="false">IF(OR(AI122="",AC122=""),"",IFERROR((AI122-AC122)/AI122,""))</f>
        <v/>
      </c>
      <c r="AK122" s="53" t="str">
        <f aca="false">IF(OR(AJ122="",AE122=""),"",AJ122-AE122)</f>
        <v/>
      </c>
      <c r="AL122" s="54" t="str">
        <f aca="false">IF(OR(AH122="",AF122=""),"",AH122-AF122)</f>
        <v/>
      </c>
      <c r="AM122" s="55" t="str">
        <f aca="false">IF(OR(A122="",K122&lt;&gt;"SI"),"",IF(AE122="","Sin objetivo",IF(AJ122="","Faltan datos",IF(AJ122&lt;0,"PÉRDIDA",IF(AK122&lt;-UMB_CRITICO,"MUY POR DEBAJO",IF(AK122&lt;-UMB_BAJO,"POR DEBAJO",IF(AK122&lt;-UMB_AJUSTADO,"AJUSTADO",IF(AK122&lt;=UMB_ALTO,"EN OBJETIVO","POR ENCIMA"))))))))</f>
        <v/>
      </c>
      <c r="AN122" s="44"/>
      <c r="AO122" s="44"/>
      <c r="AP122" s="46"/>
      <c r="AQ122" s="46"/>
      <c r="AR122" s="46"/>
      <c r="AS122" s="44"/>
      <c r="AT122" s="44"/>
      <c r="AU122" s="44"/>
      <c r="AV122" s="44"/>
      <c r="AW122" s="44"/>
      <c r="AX122" s="45"/>
      <c r="AY122" s="44"/>
      <c r="AZ122" s="56"/>
      <c r="BA122" s="45"/>
    </row>
    <row r="123" customFormat="false" ht="15" hidden="false" customHeight="false" outlineLevel="0" collapsed="false">
      <c r="A123" s="44"/>
      <c r="B123" s="44"/>
      <c r="C123" s="45"/>
      <c r="D123" s="45"/>
      <c r="E123" s="44"/>
      <c r="F123" s="44"/>
      <c r="G123" s="44"/>
      <c r="H123" s="44"/>
      <c r="I123" s="44"/>
      <c r="J123" s="44"/>
      <c r="K123" s="44"/>
      <c r="L123" s="44"/>
      <c r="M123" s="44"/>
      <c r="N123" s="44"/>
      <c r="O123" s="46"/>
      <c r="P123" s="44"/>
      <c r="Q123" s="46"/>
      <c r="R123" s="44"/>
      <c r="S123" s="45"/>
      <c r="T123" s="44"/>
      <c r="U123" s="44"/>
      <c r="V123" s="47"/>
      <c r="W123" s="48" t="str">
        <f aca="false">IF(V123="","",IFERROR(V123/O123,""))</f>
        <v/>
      </c>
      <c r="X123" s="44"/>
      <c r="Y123" s="46"/>
      <c r="Z123" s="49"/>
      <c r="AA123" s="44"/>
      <c r="AB123" s="50" t="str">
        <f aca="false">IFERROR(INDEX(TABLA_IVA!$C$3:$C$6,MATCH(AA123,TABLA_IVA!$A$3:$A$6,0)),"")</f>
        <v/>
      </c>
      <c r="AC123" s="47"/>
      <c r="AD123" s="44"/>
      <c r="AE123" s="51"/>
      <c r="AF123" s="52" t="str">
        <f aca="false">IF(OR(AC123="",AE123="",AB123=""),"",IFERROR(AC123/(1-AE123)*(1+AB123),""))</f>
        <v/>
      </c>
      <c r="AG123" s="47"/>
      <c r="AH123" s="52" t="str">
        <f aca="false">IF(AD123="FIJO",IF(AG123="","",AG123),IF(AF123&lt;&gt;"",AF123,IF(AG123="","",AG123)))</f>
        <v/>
      </c>
      <c r="AI123" s="52" t="str">
        <f aca="false">IF(OR(AH123="",AB123=""),"",IFERROR(AH123/(1+AB123),""))</f>
        <v/>
      </c>
      <c r="AJ123" s="50" t="str">
        <f aca="false">IF(OR(AI123="",AC123=""),"",IFERROR((AI123-AC123)/AI123,""))</f>
        <v/>
      </c>
      <c r="AK123" s="53" t="str">
        <f aca="false">IF(OR(AJ123="",AE123=""),"",AJ123-AE123)</f>
        <v/>
      </c>
      <c r="AL123" s="54" t="str">
        <f aca="false">IF(OR(AH123="",AF123=""),"",AH123-AF123)</f>
        <v/>
      </c>
      <c r="AM123" s="55" t="str">
        <f aca="false">IF(OR(A123="",K123&lt;&gt;"SI"),"",IF(AE123="","Sin objetivo",IF(AJ123="","Faltan datos",IF(AJ123&lt;0,"PÉRDIDA",IF(AK123&lt;-UMB_CRITICO,"MUY POR DEBAJO",IF(AK123&lt;-UMB_BAJO,"POR DEBAJO",IF(AK123&lt;-UMB_AJUSTADO,"AJUSTADO",IF(AK123&lt;=UMB_ALTO,"EN OBJETIVO","POR ENCIMA"))))))))</f>
        <v/>
      </c>
      <c r="AN123" s="44"/>
      <c r="AO123" s="44"/>
      <c r="AP123" s="46"/>
      <c r="AQ123" s="46"/>
      <c r="AR123" s="46"/>
      <c r="AS123" s="44"/>
      <c r="AT123" s="44"/>
      <c r="AU123" s="44"/>
      <c r="AV123" s="44"/>
      <c r="AW123" s="44"/>
      <c r="AX123" s="45"/>
      <c r="AY123" s="44"/>
      <c r="AZ123" s="56"/>
      <c r="BA123" s="45"/>
    </row>
    <row r="124" customFormat="false" ht="15" hidden="false" customHeight="false" outlineLevel="0" collapsed="false">
      <c r="A124" s="44"/>
      <c r="B124" s="44"/>
      <c r="C124" s="45"/>
      <c r="D124" s="45"/>
      <c r="E124" s="44"/>
      <c r="F124" s="44"/>
      <c r="G124" s="44"/>
      <c r="H124" s="44"/>
      <c r="I124" s="44"/>
      <c r="J124" s="44"/>
      <c r="K124" s="44"/>
      <c r="L124" s="44"/>
      <c r="M124" s="44"/>
      <c r="N124" s="44"/>
      <c r="O124" s="46"/>
      <c r="P124" s="44"/>
      <c r="Q124" s="46"/>
      <c r="R124" s="44"/>
      <c r="S124" s="45"/>
      <c r="T124" s="44"/>
      <c r="U124" s="44"/>
      <c r="V124" s="47"/>
      <c r="W124" s="48" t="str">
        <f aca="false">IF(V124="","",IFERROR(V124/O124,""))</f>
        <v/>
      </c>
      <c r="X124" s="44"/>
      <c r="Y124" s="46"/>
      <c r="Z124" s="49"/>
      <c r="AA124" s="44"/>
      <c r="AB124" s="50" t="str">
        <f aca="false">IFERROR(INDEX(TABLA_IVA!$C$3:$C$6,MATCH(AA124,TABLA_IVA!$A$3:$A$6,0)),"")</f>
        <v/>
      </c>
      <c r="AC124" s="47"/>
      <c r="AD124" s="44"/>
      <c r="AE124" s="51"/>
      <c r="AF124" s="52" t="str">
        <f aca="false">IF(OR(AC124="",AE124="",AB124=""),"",IFERROR(AC124/(1-AE124)*(1+AB124),""))</f>
        <v/>
      </c>
      <c r="AG124" s="47"/>
      <c r="AH124" s="52" t="str">
        <f aca="false">IF(AD124="FIJO",IF(AG124="","",AG124),IF(AF124&lt;&gt;"",AF124,IF(AG124="","",AG124)))</f>
        <v/>
      </c>
      <c r="AI124" s="52" t="str">
        <f aca="false">IF(OR(AH124="",AB124=""),"",IFERROR(AH124/(1+AB124),""))</f>
        <v/>
      </c>
      <c r="AJ124" s="50" t="str">
        <f aca="false">IF(OR(AI124="",AC124=""),"",IFERROR((AI124-AC124)/AI124,""))</f>
        <v/>
      </c>
      <c r="AK124" s="53" t="str">
        <f aca="false">IF(OR(AJ124="",AE124=""),"",AJ124-AE124)</f>
        <v/>
      </c>
      <c r="AL124" s="54" t="str">
        <f aca="false">IF(OR(AH124="",AF124=""),"",AH124-AF124)</f>
        <v/>
      </c>
      <c r="AM124" s="55" t="str">
        <f aca="false">IF(OR(A124="",K124&lt;&gt;"SI"),"",IF(AE124="","Sin objetivo",IF(AJ124="","Faltan datos",IF(AJ124&lt;0,"PÉRDIDA",IF(AK124&lt;-UMB_CRITICO,"MUY POR DEBAJO",IF(AK124&lt;-UMB_BAJO,"POR DEBAJO",IF(AK124&lt;-UMB_AJUSTADO,"AJUSTADO",IF(AK124&lt;=UMB_ALTO,"EN OBJETIVO","POR ENCIMA"))))))))</f>
        <v/>
      </c>
      <c r="AN124" s="44"/>
      <c r="AO124" s="44"/>
      <c r="AP124" s="46"/>
      <c r="AQ124" s="46"/>
      <c r="AR124" s="46"/>
      <c r="AS124" s="44"/>
      <c r="AT124" s="44"/>
      <c r="AU124" s="44"/>
      <c r="AV124" s="44"/>
      <c r="AW124" s="44"/>
      <c r="AX124" s="45"/>
      <c r="AY124" s="44"/>
      <c r="AZ124" s="56"/>
      <c r="BA124" s="45"/>
    </row>
    <row r="125" customFormat="false" ht="15" hidden="false" customHeight="false" outlineLevel="0" collapsed="false">
      <c r="A125" s="44"/>
      <c r="B125" s="44"/>
      <c r="C125" s="45"/>
      <c r="D125" s="45"/>
      <c r="E125" s="44"/>
      <c r="F125" s="44"/>
      <c r="G125" s="44"/>
      <c r="H125" s="44"/>
      <c r="I125" s="44"/>
      <c r="J125" s="44"/>
      <c r="K125" s="44"/>
      <c r="L125" s="44"/>
      <c r="M125" s="44"/>
      <c r="N125" s="44"/>
      <c r="O125" s="46"/>
      <c r="P125" s="44"/>
      <c r="Q125" s="46"/>
      <c r="R125" s="44"/>
      <c r="S125" s="45"/>
      <c r="T125" s="44"/>
      <c r="U125" s="44"/>
      <c r="V125" s="47"/>
      <c r="W125" s="48" t="str">
        <f aca="false">IF(V125="","",IFERROR(V125/O125,""))</f>
        <v/>
      </c>
      <c r="X125" s="44"/>
      <c r="Y125" s="46"/>
      <c r="Z125" s="49"/>
      <c r="AA125" s="44"/>
      <c r="AB125" s="50" t="str">
        <f aca="false">IFERROR(INDEX(TABLA_IVA!$C$3:$C$6,MATCH(AA125,TABLA_IVA!$A$3:$A$6,0)),"")</f>
        <v/>
      </c>
      <c r="AC125" s="47"/>
      <c r="AD125" s="44"/>
      <c r="AE125" s="51"/>
      <c r="AF125" s="52" t="str">
        <f aca="false">IF(OR(AC125="",AE125="",AB125=""),"",IFERROR(AC125/(1-AE125)*(1+AB125),""))</f>
        <v/>
      </c>
      <c r="AG125" s="47"/>
      <c r="AH125" s="52" t="str">
        <f aca="false">IF(AD125="FIJO",IF(AG125="","",AG125),IF(AF125&lt;&gt;"",AF125,IF(AG125="","",AG125)))</f>
        <v/>
      </c>
      <c r="AI125" s="52" t="str">
        <f aca="false">IF(OR(AH125="",AB125=""),"",IFERROR(AH125/(1+AB125),""))</f>
        <v/>
      </c>
      <c r="AJ125" s="50" t="str">
        <f aca="false">IF(OR(AI125="",AC125=""),"",IFERROR((AI125-AC125)/AI125,""))</f>
        <v/>
      </c>
      <c r="AK125" s="53" t="str">
        <f aca="false">IF(OR(AJ125="",AE125=""),"",AJ125-AE125)</f>
        <v/>
      </c>
      <c r="AL125" s="54" t="str">
        <f aca="false">IF(OR(AH125="",AF125=""),"",AH125-AF125)</f>
        <v/>
      </c>
      <c r="AM125" s="55" t="str">
        <f aca="false">IF(OR(A125="",K125&lt;&gt;"SI"),"",IF(AE125="","Sin objetivo",IF(AJ125="","Faltan datos",IF(AJ125&lt;0,"PÉRDIDA",IF(AK125&lt;-UMB_CRITICO,"MUY POR DEBAJO",IF(AK125&lt;-UMB_BAJO,"POR DEBAJO",IF(AK125&lt;-UMB_AJUSTADO,"AJUSTADO",IF(AK125&lt;=UMB_ALTO,"EN OBJETIVO","POR ENCIMA"))))))))</f>
        <v/>
      </c>
      <c r="AN125" s="44"/>
      <c r="AO125" s="44"/>
      <c r="AP125" s="46"/>
      <c r="AQ125" s="46"/>
      <c r="AR125" s="46"/>
      <c r="AS125" s="44"/>
      <c r="AT125" s="44"/>
      <c r="AU125" s="44"/>
      <c r="AV125" s="44"/>
      <c r="AW125" s="44"/>
      <c r="AX125" s="45"/>
      <c r="AY125" s="44"/>
      <c r="AZ125" s="56"/>
      <c r="BA125" s="45"/>
    </row>
    <row r="126" customFormat="false" ht="15" hidden="false" customHeight="false" outlineLevel="0" collapsed="false">
      <c r="A126" s="44"/>
      <c r="B126" s="44"/>
      <c r="C126" s="45"/>
      <c r="D126" s="45"/>
      <c r="E126" s="44"/>
      <c r="F126" s="44"/>
      <c r="G126" s="44"/>
      <c r="H126" s="44"/>
      <c r="I126" s="44"/>
      <c r="J126" s="44"/>
      <c r="K126" s="44"/>
      <c r="L126" s="44"/>
      <c r="M126" s="44"/>
      <c r="N126" s="44"/>
      <c r="O126" s="46"/>
      <c r="P126" s="44"/>
      <c r="Q126" s="46"/>
      <c r="R126" s="44"/>
      <c r="S126" s="45"/>
      <c r="T126" s="44"/>
      <c r="U126" s="44"/>
      <c r="V126" s="47"/>
      <c r="W126" s="48" t="str">
        <f aca="false">IF(V126="","",IFERROR(V126/O126,""))</f>
        <v/>
      </c>
      <c r="X126" s="44"/>
      <c r="Y126" s="46"/>
      <c r="Z126" s="49"/>
      <c r="AA126" s="44"/>
      <c r="AB126" s="50" t="str">
        <f aca="false">IFERROR(INDEX(TABLA_IVA!$C$3:$C$6,MATCH(AA126,TABLA_IVA!$A$3:$A$6,0)),"")</f>
        <v/>
      </c>
      <c r="AC126" s="47"/>
      <c r="AD126" s="44"/>
      <c r="AE126" s="51"/>
      <c r="AF126" s="52" t="str">
        <f aca="false">IF(OR(AC126="",AE126="",AB126=""),"",IFERROR(AC126/(1-AE126)*(1+AB126),""))</f>
        <v/>
      </c>
      <c r="AG126" s="47"/>
      <c r="AH126" s="52" t="str">
        <f aca="false">IF(AD126="FIJO",IF(AG126="","",AG126),IF(AF126&lt;&gt;"",AF126,IF(AG126="","",AG126)))</f>
        <v/>
      </c>
      <c r="AI126" s="52" t="str">
        <f aca="false">IF(OR(AH126="",AB126=""),"",IFERROR(AH126/(1+AB126),""))</f>
        <v/>
      </c>
      <c r="AJ126" s="50" t="str">
        <f aca="false">IF(OR(AI126="",AC126=""),"",IFERROR((AI126-AC126)/AI126,""))</f>
        <v/>
      </c>
      <c r="AK126" s="53" t="str">
        <f aca="false">IF(OR(AJ126="",AE126=""),"",AJ126-AE126)</f>
        <v/>
      </c>
      <c r="AL126" s="54" t="str">
        <f aca="false">IF(OR(AH126="",AF126=""),"",AH126-AF126)</f>
        <v/>
      </c>
      <c r="AM126" s="55" t="str">
        <f aca="false">IF(OR(A126="",K126&lt;&gt;"SI"),"",IF(AE126="","Sin objetivo",IF(AJ126="","Faltan datos",IF(AJ126&lt;0,"PÉRDIDA",IF(AK126&lt;-UMB_CRITICO,"MUY POR DEBAJO",IF(AK126&lt;-UMB_BAJO,"POR DEBAJO",IF(AK126&lt;-UMB_AJUSTADO,"AJUSTADO",IF(AK126&lt;=UMB_ALTO,"EN OBJETIVO","POR ENCIMA"))))))))</f>
        <v/>
      </c>
      <c r="AN126" s="44"/>
      <c r="AO126" s="44"/>
      <c r="AP126" s="46"/>
      <c r="AQ126" s="46"/>
      <c r="AR126" s="46"/>
      <c r="AS126" s="44"/>
      <c r="AT126" s="44"/>
      <c r="AU126" s="44"/>
      <c r="AV126" s="44"/>
      <c r="AW126" s="44"/>
      <c r="AX126" s="45"/>
      <c r="AY126" s="44"/>
      <c r="AZ126" s="56"/>
      <c r="BA126" s="45"/>
    </row>
    <row r="127" customFormat="false" ht="15" hidden="false" customHeight="false" outlineLevel="0" collapsed="false">
      <c r="A127" s="44"/>
      <c r="B127" s="44"/>
      <c r="C127" s="45"/>
      <c r="D127" s="45"/>
      <c r="E127" s="44"/>
      <c r="F127" s="44"/>
      <c r="G127" s="44"/>
      <c r="H127" s="44"/>
      <c r="I127" s="44"/>
      <c r="J127" s="44"/>
      <c r="K127" s="44"/>
      <c r="L127" s="44"/>
      <c r="M127" s="44"/>
      <c r="N127" s="44"/>
      <c r="O127" s="46"/>
      <c r="P127" s="44"/>
      <c r="Q127" s="46"/>
      <c r="R127" s="44"/>
      <c r="S127" s="45"/>
      <c r="T127" s="44"/>
      <c r="U127" s="44"/>
      <c r="V127" s="47"/>
      <c r="W127" s="48" t="str">
        <f aca="false">IF(V127="","",IFERROR(V127/O127,""))</f>
        <v/>
      </c>
      <c r="X127" s="44"/>
      <c r="Y127" s="46"/>
      <c r="Z127" s="49"/>
      <c r="AA127" s="44"/>
      <c r="AB127" s="50" t="str">
        <f aca="false">IFERROR(INDEX(TABLA_IVA!$C$3:$C$6,MATCH(AA127,TABLA_IVA!$A$3:$A$6,0)),"")</f>
        <v/>
      </c>
      <c r="AC127" s="47"/>
      <c r="AD127" s="44"/>
      <c r="AE127" s="51"/>
      <c r="AF127" s="52" t="str">
        <f aca="false">IF(OR(AC127="",AE127="",AB127=""),"",IFERROR(AC127/(1-AE127)*(1+AB127),""))</f>
        <v/>
      </c>
      <c r="AG127" s="47"/>
      <c r="AH127" s="52" t="str">
        <f aca="false">IF(AD127="FIJO",IF(AG127="","",AG127),IF(AF127&lt;&gt;"",AF127,IF(AG127="","",AG127)))</f>
        <v/>
      </c>
      <c r="AI127" s="52" t="str">
        <f aca="false">IF(OR(AH127="",AB127=""),"",IFERROR(AH127/(1+AB127),""))</f>
        <v/>
      </c>
      <c r="AJ127" s="50" t="str">
        <f aca="false">IF(OR(AI127="",AC127=""),"",IFERROR((AI127-AC127)/AI127,""))</f>
        <v/>
      </c>
      <c r="AK127" s="53" t="str">
        <f aca="false">IF(OR(AJ127="",AE127=""),"",AJ127-AE127)</f>
        <v/>
      </c>
      <c r="AL127" s="54" t="str">
        <f aca="false">IF(OR(AH127="",AF127=""),"",AH127-AF127)</f>
        <v/>
      </c>
      <c r="AM127" s="55" t="str">
        <f aca="false">IF(OR(A127="",K127&lt;&gt;"SI"),"",IF(AE127="","Sin objetivo",IF(AJ127="","Faltan datos",IF(AJ127&lt;0,"PÉRDIDA",IF(AK127&lt;-UMB_CRITICO,"MUY POR DEBAJO",IF(AK127&lt;-UMB_BAJO,"POR DEBAJO",IF(AK127&lt;-UMB_AJUSTADO,"AJUSTADO",IF(AK127&lt;=UMB_ALTO,"EN OBJETIVO","POR ENCIMA"))))))))</f>
        <v/>
      </c>
      <c r="AN127" s="44"/>
      <c r="AO127" s="44"/>
      <c r="AP127" s="46"/>
      <c r="AQ127" s="46"/>
      <c r="AR127" s="46"/>
      <c r="AS127" s="44"/>
      <c r="AT127" s="44"/>
      <c r="AU127" s="44"/>
      <c r="AV127" s="44"/>
      <c r="AW127" s="44"/>
      <c r="AX127" s="45"/>
      <c r="AY127" s="44"/>
      <c r="AZ127" s="56"/>
      <c r="BA127" s="45"/>
    </row>
    <row r="128" customFormat="false" ht="15" hidden="false" customHeight="false" outlineLevel="0" collapsed="false">
      <c r="A128" s="44"/>
      <c r="B128" s="44"/>
      <c r="C128" s="45"/>
      <c r="D128" s="45"/>
      <c r="E128" s="44"/>
      <c r="F128" s="44"/>
      <c r="G128" s="44"/>
      <c r="H128" s="44"/>
      <c r="I128" s="44"/>
      <c r="J128" s="44"/>
      <c r="K128" s="44"/>
      <c r="L128" s="44"/>
      <c r="M128" s="44"/>
      <c r="N128" s="44"/>
      <c r="O128" s="46"/>
      <c r="P128" s="44"/>
      <c r="Q128" s="46"/>
      <c r="R128" s="44"/>
      <c r="S128" s="45"/>
      <c r="T128" s="44"/>
      <c r="U128" s="44"/>
      <c r="V128" s="47"/>
      <c r="W128" s="48" t="str">
        <f aca="false">IF(V128="","",IFERROR(V128/O128,""))</f>
        <v/>
      </c>
      <c r="X128" s="44"/>
      <c r="Y128" s="46"/>
      <c r="Z128" s="49"/>
      <c r="AA128" s="44"/>
      <c r="AB128" s="50" t="str">
        <f aca="false">IFERROR(INDEX(TABLA_IVA!$C$3:$C$6,MATCH(AA128,TABLA_IVA!$A$3:$A$6,0)),"")</f>
        <v/>
      </c>
      <c r="AC128" s="47"/>
      <c r="AD128" s="44"/>
      <c r="AE128" s="51"/>
      <c r="AF128" s="52" t="str">
        <f aca="false">IF(OR(AC128="",AE128="",AB128=""),"",IFERROR(AC128/(1-AE128)*(1+AB128),""))</f>
        <v/>
      </c>
      <c r="AG128" s="47"/>
      <c r="AH128" s="52" t="str">
        <f aca="false">IF(AD128="FIJO",IF(AG128="","",AG128),IF(AF128&lt;&gt;"",AF128,IF(AG128="","",AG128)))</f>
        <v/>
      </c>
      <c r="AI128" s="52" t="str">
        <f aca="false">IF(OR(AH128="",AB128=""),"",IFERROR(AH128/(1+AB128),""))</f>
        <v/>
      </c>
      <c r="AJ128" s="50" t="str">
        <f aca="false">IF(OR(AI128="",AC128=""),"",IFERROR((AI128-AC128)/AI128,""))</f>
        <v/>
      </c>
      <c r="AK128" s="53" t="str">
        <f aca="false">IF(OR(AJ128="",AE128=""),"",AJ128-AE128)</f>
        <v/>
      </c>
      <c r="AL128" s="54" t="str">
        <f aca="false">IF(OR(AH128="",AF128=""),"",AH128-AF128)</f>
        <v/>
      </c>
      <c r="AM128" s="55" t="str">
        <f aca="false">IF(OR(A128="",K128&lt;&gt;"SI"),"",IF(AE128="","Sin objetivo",IF(AJ128="","Faltan datos",IF(AJ128&lt;0,"PÉRDIDA",IF(AK128&lt;-UMB_CRITICO,"MUY POR DEBAJO",IF(AK128&lt;-UMB_BAJO,"POR DEBAJO",IF(AK128&lt;-UMB_AJUSTADO,"AJUSTADO",IF(AK128&lt;=UMB_ALTO,"EN OBJETIVO","POR ENCIMA"))))))))</f>
        <v/>
      </c>
      <c r="AN128" s="44"/>
      <c r="AO128" s="44"/>
      <c r="AP128" s="46"/>
      <c r="AQ128" s="46"/>
      <c r="AR128" s="46"/>
      <c r="AS128" s="44"/>
      <c r="AT128" s="44"/>
      <c r="AU128" s="44"/>
      <c r="AV128" s="44"/>
      <c r="AW128" s="44"/>
      <c r="AX128" s="45"/>
      <c r="AY128" s="44"/>
      <c r="AZ128" s="56"/>
      <c r="BA128" s="45"/>
    </row>
    <row r="129" customFormat="false" ht="15" hidden="false" customHeight="false" outlineLevel="0" collapsed="false">
      <c r="A129" s="44"/>
      <c r="B129" s="44"/>
      <c r="C129" s="45"/>
      <c r="D129" s="45"/>
      <c r="E129" s="44"/>
      <c r="F129" s="44"/>
      <c r="G129" s="44"/>
      <c r="H129" s="44"/>
      <c r="I129" s="44"/>
      <c r="J129" s="44"/>
      <c r="K129" s="44"/>
      <c r="L129" s="44"/>
      <c r="M129" s="44"/>
      <c r="N129" s="44"/>
      <c r="O129" s="46"/>
      <c r="P129" s="44"/>
      <c r="Q129" s="46"/>
      <c r="R129" s="44"/>
      <c r="S129" s="45"/>
      <c r="T129" s="44"/>
      <c r="U129" s="44"/>
      <c r="V129" s="47"/>
      <c r="W129" s="48" t="str">
        <f aca="false">IF(V129="","",IFERROR(V129/O129,""))</f>
        <v/>
      </c>
      <c r="X129" s="44"/>
      <c r="Y129" s="46"/>
      <c r="Z129" s="49"/>
      <c r="AA129" s="44"/>
      <c r="AB129" s="50" t="str">
        <f aca="false">IFERROR(INDEX(TABLA_IVA!$C$3:$C$6,MATCH(AA129,TABLA_IVA!$A$3:$A$6,0)),"")</f>
        <v/>
      </c>
      <c r="AC129" s="47"/>
      <c r="AD129" s="44"/>
      <c r="AE129" s="51"/>
      <c r="AF129" s="52" t="str">
        <f aca="false">IF(OR(AC129="",AE129="",AB129=""),"",IFERROR(AC129/(1-AE129)*(1+AB129),""))</f>
        <v/>
      </c>
      <c r="AG129" s="47"/>
      <c r="AH129" s="52" t="str">
        <f aca="false">IF(AD129="FIJO",IF(AG129="","",AG129),IF(AF129&lt;&gt;"",AF129,IF(AG129="","",AG129)))</f>
        <v/>
      </c>
      <c r="AI129" s="52" t="str">
        <f aca="false">IF(OR(AH129="",AB129=""),"",IFERROR(AH129/(1+AB129),""))</f>
        <v/>
      </c>
      <c r="AJ129" s="50" t="str">
        <f aca="false">IF(OR(AI129="",AC129=""),"",IFERROR((AI129-AC129)/AI129,""))</f>
        <v/>
      </c>
      <c r="AK129" s="53" t="str">
        <f aca="false">IF(OR(AJ129="",AE129=""),"",AJ129-AE129)</f>
        <v/>
      </c>
      <c r="AL129" s="54" t="str">
        <f aca="false">IF(OR(AH129="",AF129=""),"",AH129-AF129)</f>
        <v/>
      </c>
      <c r="AM129" s="55" t="str">
        <f aca="false">IF(OR(A129="",K129&lt;&gt;"SI"),"",IF(AE129="","Sin objetivo",IF(AJ129="","Faltan datos",IF(AJ129&lt;0,"PÉRDIDA",IF(AK129&lt;-UMB_CRITICO,"MUY POR DEBAJO",IF(AK129&lt;-UMB_BAJO,"POR DEBAJO",IF(AK129&lt;-UMB_AJUSTADO,"AJUSTADO",IF(AK129&lt;=UMB_ALTO,"EN OBJETIVO","POR ENCIMA"))))))))</f>
        <v/>
      </c>
      <c r="AN129" s="44"/>
      <c r="AO129" s="44"/>
      <c r="AP129" s="46"/>
      <c r="AQ129" s="46"/>
      <c r="AR129" s="46"/>
      <c r="AS129" s="44"/>
      <c r="AT129" s="44"/>
      <c r="AU129" s="44"/>
      <c r="AV129" s="44"/>
      <c r="AW129" s="44"/>
      <c r="AX129" s="45"/>
      <c r="AY129" s="44"/>
      <c r="AZ129" s="56"/>
      <c r="BA129" s="45"/>
    </row>
    <row r="130" customFormat="false" ht="15" hidden="false" customHeight="false" outlineLevel="0" collapsed="false">
      <c r="A130" s="44"/>
      <c r="B130" s="44"/>
      <c r="C130" s="45"/>
      <c r="D130" s="45"/>
      <c r="E130" s="44"/>
      <c r="F130" s="44"/>
      <c r="G130" s="44"/>
      <c r="H130" s="44"/>
      <c r="I130" s="44"/>
      <c r="J130" s="44"/>
      <c r="K130" s="44"/>
      <c r="L130" s="44"/>
      <c r="M130" s="44"/>
      <c r="N130" s="44"/>
      <c r="O130" s="46"/>
      <c r="P130" s="44"/>
      <c r="Q130" s="46"/>
      <c r="R130" s="44"/>
      <c r="S130" s="45"/>
      <c r="T130" s="44"/>
      <c r="U130" s="44"/>
      <c r="V130" s="47"/>
      <c r="W130" s="48" t="str">
        <f aca="false">IF(V130="","",IFERROR(V130/O130,""))</f>
        <v/>
      </c>
      <c r="X130" s="44"/>
      <c r="Y130" s="46"/>
      <c r="Z130" s="49"/>
      <c r="AA130" s="44"/>
      <c r="AB130" s="50" t="str">
        <f aca="false">IFERROR(INDEX(TABLA_IVA!$C$3:$C$6,MATCH(AA130,TABLA_IVA!$A$3:$A$6,0)),"")</f>
        <v/>
      </c>
      <c r="AC130" s="47"/>
      <c r="AD130" s="44"/>
      <c r="AE130" s="51"/>
      <c r="AF130" s="52" t="str">
        <f aca="false">IF(OR(AC130="",AE130="",AB130=""),"",IFERROR(AC130/(1-AE130)*(1+AB130),""))</f>
        <v/>
      </c>
      <c r="AG130" s="47"/>
      <c r="AH130" s="52" t="str">
        <f aca="false">IF(AD130="FIJO",IF(AG130="","",AG130),IF(AF130&lt;&gt;"",AF130,IF(AG130="","",AG130)))</f>
        <v/>
      </c>
      <c r="AI130" s="52" t="str">
        <f aca="false">IF(OR(AH130="",AB130=""),"",IFERROR(AH130/(1+AB130),""))</f>
        <v/>
      </c>
      <c r="AJ130" s="50" t="str">
        <f aca="false">IF(OR(AI130="",AC130=""),"",IFERROR((AI130-AC130)/AI130,""))</f>
        <v/>
      </c>
      <c r="AK130" s="53" t="str">
        <f aca="false">IF(OR(AJ130="",AE130=""),"",AJ130-AE130)</f>
        <v/>
      </c>
      <c r="AL130" s="54" t="str">
        <f aca="false">IF(OR(AH130="",AF130=""),"",AH130-AF130)</f>
        <v/>
      </c>
      <c r="AM130" s="55" t="str">
        <f aca="false">IF(OR(A130="",K130&lt;&gt;"SI"),"",IF(AE130="","Sin objetivo",IF(AJ130="","Faltan datos",IF(AJ130&lt;0,"PÉRDIDA",IF(AK130&lt;-UMB_CRITICO,"MUY POR DEBAJO",IF(AK130&lt;-UMB_BAJO,"POR DEBAJO",IF(AK130&lt;-UMB_AJUSTADO,"AJUSTADO",IF(AK130&lt;=UMB_ALTO,"EN OBJETIVO","POR ENCIMA"))))))))</f>
        <v/>
      </c>
      <c r="AN130" s="44"/>
      <c r="AO130" s="44"/>
      <c r="AP130" s="46"/>
      <c r="AQ130" s="46"/>
      <c r="AR130" s="46"/>
      <c r="AS130" s="44"/>
      <c r="AT130" s="44"/>
      <c r="AU130" s="44"/>
      <c r="AV130" s="44"/>
      <c r="AW130" s="44"/>
      <c r="AX130" s="45"/>
      <c r="AY130" s="44"/>
      <c r="AZ130" s="56"/>
      <c r="BA130" s="45"/>
    </row>
    <row r="131" customFormat="false" ht="15" hidden="false" customHeight="false" outlineLevel="0" collapsed="false">
      <c r="A131" s="44"/>
      <c r="B131" s="44"/>
      <c r="C131" s="45"/>
      <c r="D131" s="45"/>
      <c r="E131" s="44"/>
      <c r="F131" s="44"/>
      <c r="G131" s="44"/>
      <c r="H131" s="44"/>
      <c r="I131" s="44"/>
      <c r="J131" s="44"/>
      <c r="K131" s="44"/>
      <c r="L131" s="44"/>
      <c r="M131" s="44"/>
      <c r="N131" s="44"/>
      <c r="O131" s="46"/>
      <c r="P131" s="44"/>
      <c r="Q131" s="46"/>
      <c r="R131" s="44"/>
      <c r="S131" s="45"/>
      <c r="T131" s="44"/>
      <c r="U131" s="44"/>
      <c r="V131" s="47"/>
      <c r="W131" s="48" t="str">
        <f aca="false">IF(V131="","",IFERROR(V131/O131,""))</f>
        <v/>
      </c>
      <c r="X131" s="44"/>
      <c r="Y131" s="46"/>
      <c r="Z131" s="49"/>
      <c r="AA131" s="44"/>
      <c r="AB131" s="50" t="str">
        <f aca="false">IFERROR(INDEX(TABLA_IVA!$C$3:$C$6,MATCH(AA131,TABLA_IVA!$A$3:$A$6,0)),"")</f>
        <v/>
      </c>
      <c r="AC131" s="47"/>
      <c r="AD131" s="44"/>
      <c r="AE131" s="51"/>
      <c r="AF131" s="52" t="str">
        <f aca="false">IF(OR(AC131="",AE131="",AB131=""),"",IFERROR(AC131/(1-AE131)*(1+AB131),""))</f>
        <v/>
      </c>
      <c r="AG131" s="47"/>
      <c r="AH131" s="52" t="str">
        <f aca="false">IF(AD131="FIJO",IF(AG131="","",AG131),IF(AF131&lt;&gt;"",AF131,IF(AG131="","",AG131)))</f>
        <v/>
      </c>
      <c r="AI131" s="52" t="str">
        <f aca="false">IF(OR(AH131="",AB131=""),"",IFERROR(AH131/(1+AB131),""))</f>
        <v/>
      </c>
      <c r="AJ131" s="50" t="str">
        <f aca="false">IF(OR(AI131="",AC131=""),"",IFERROR((AI131-AC131)/AI131,""))</f>
        <v/>
      </c>
      <c r="AK131" s="53" t="str">
        <f aca="false">IF(OR(AJ131="",AE131=""),"",AJ131-AE131)</f>
        <v/>
      </c>
      <c r="AL131" s="54" t="str">
        <f aca="false">IF(OR(AH131="",AF131=""),"",AH131-AF131)</f>
        <v/>
      </c>
      <c r="AM131" s="55" t="str">
        <f aca="false">IF(OR(A131="",K131&lt;&gt;"SI"),"",IF(AE131="","Sin objetivo",IF(AJ131="","Faltan datos",IF(AJ131&lt;0,"PÉRDIDA",IF(AK131&lt;-UMB_CRITICO,"MUY POR DEBAJO",IF(AK131&lt;-UMB_BAJO,"POR DEBAJO",IF(AK131&lt;-UMB_AJUSTADO,"AJUSTADO",IF(AK131&lt;=UMB_ALTO,"EN OBJETIVO","POR ENCIMA"))))))))</f>
        <v/>
      </c>
      <c r="AN131" s="44"/>
      <c r="AO131" s="44"/>
      <c r="AP131" s="46"/>
      <c r="AQ131" s="46"/>
      <c r="AR131" s="46"/>
      <c r="AS131" s="44"/>
      <c r="AT131" s="44"/>
      <c r="AU131" s="44"/>
      <c r="AV131" s="44"/>
      <c r="AW131" s="44"/>
      <c r="AX131" s="45"/>
      <c r="AY131" s="44"/>
      <c r="AZ131" s="56"/>
      <c r="BA131" s="45"/>
    </row>
    <row r="132" customFormat="false" ht="15" hidden="false" customHeight="false" outlineLevel="0" collapsed="false">
      <c r="A132" s="44"/>
      <c r="B132" s="44"/>
      <c r="C132" s="45"/>
      <c r="D132" s="45"/>
      <c r="E132" s="44"/>
      <c r="F132" s="44"/>
      <c r="G132" s="44"/>
      <c r="H132" s="44"/>
      <c r="I132" s="44"/>
      <c r="J132" s="44"/>
      <c r="K132" s="44"/>
      <c r="L132" s="44"/>
      <c r="M132" s="44"/>
      <c r="N132" s="44"/>
      <c r="O132" s="46"/>
      <c r="P132" s="44"/>
      <c r="Q132" s="46"/>
      <c r="R132" s="44"/>
      <c r="S132" s="45"/>
      <c r="T132" s="44"/>
      <c r="U132" s="44"/>
      <c r="V132" s="47"/>
      <c r="W132" s="48" t="str">
        <f aca="false">IF(V132="","",IFERROR(V132/O132,""))</f>
        <v/>
      </c>
      <c r="X132" s="44"/>
      <c r="Y132" s="46"/>
      <c r="Z132" s="49"/>
      <c r="AA132" s="44"/>
      <c r="AB132" s="50" t="str">
        <f aca="false">IFERROR(INDEX(TABLA_IVA!$C$3:$C$6,MATCH(AA132,TABLA_IVA!$A$3:$A$6,0)),"")</f>
        <v/>
      </c>
      <c r="AC132" s="47"/>
      <c r="AD132" s="44"/>
      <c r="AE132" s="51"/>
      <c r="AF132" s="52" t="str">
        <f aca="false">IF(OR(AC132="",AE132="",AB132=""),"",IFERROR(AC132/(1-AE132)*(1+AB132),""))</f>
        <v/>
      </c>
      <c r="AG132" s="47"/>
      <c r="AH132" s="52" t="str">
        <f aca="false">IF(AD132="FIJO",IF(AG132="","",AG132),IF(AF132&lt;&gt;"",AF132,IF(AG132="","",AG132)))</f>
        <v/>
      </c>
      <c r="AI132" s="52" t="str">
        <f aca="false">IF(OR(AH132="",AB132=""),"",IFERROR(AH132/(1+AB132),""))</f>
        <v/>
      </c>
      <c r="AJ132" s="50" t="str">
        <f aca="false">IF(OR(AI132="",AC132=""),"",IFERROR((AI132-AC132)/AI132,""))</f>
        <v/>
      </c>
      <c r="AK132" s="53" t="str">
        <f aca="false">IF(OR(AJ132="",AE132=""),"",AJ132-AE132)</f>
        <v/>
      </c>
      <c r="AL132" s="54" t="str">
        <f aca="false">IF(OR(AH132="",AF132=""),"",AH132-AF132)</f>
        <v/>
      </c>
      <c r="AM132" s="55" t="str">
        <f aca="false">IF(OR(A132="",K132&lt;&gt;"SI"),"",IF(AE132="","Sin objetivo",IF(AJ132="","Faltan datos",IF(AJ132&lt;0,"PÉRDIDA",IF(AK132&lt;-UMB_CRITICO,"MUY POR DEBAJO",IF(AK132&lt;-UMB_BAJO,"POR DEBAJO",IF(AK132&lt;-UMB_AJUSTADO,"AJUSTADO",IF(AK132&lt;=UMB_ALTO,"EN OBJETIVO","POR ENCIMA"))))))))</f>
        <v/>
      </c>
      <c r="AN132" s="44"/>
      <c r="AO132" s="44"/>
      <c r="AP132" s="46"/>
      <c r="AQ132" s="46"/>
      <c r="AR132" s="46"/>
      <c r="AS132" s="44"/>
      <c r="AT132" s="44"/>
      <c r="AU132" s="44"/>
      <c r="AV132" s="44"/>
      <c r="AW132" s="44"/>
      <c r="AX132" s="45"/>
      <c r="AY132" s="44"/>
      <c r="AZ132" s="56"/>
      <c r="BA132" s="45"/>
    </row>
    <row r="133" customFormat="false" ht="15" hidden="false" customHeight="false" outlineLevel="0" collapsed="false">
      <c r="A133" s="44"/>
      <c r="B133" s="44"/>
      <c r="C133" s="45"/>
      <c r="D133" s="45"/>
      <c r="E133" s="44"/>
      <c r="F133" s="44"/>
      <c r="G133" s="44"/>
      <c r="H133" s="44"/>
      <c r="I133" s="44"/>
      <c r="J133" s="44"/>
      <c r="K133" s="44"/>
      <c r="L133" s="44"/>
      <c r="M133" s="44"/>
      <c r="N133" s="44"/>
      <c r="O133" s="46"/>
      <c r="P133" s="44"/>
      <c r="Q133" s="46"/>
      <c r="R133" s="44"/>
      <c r="S133" s="45"/>
      <c r="T133" s="44"/>
      <c r="U133" s="44"/>
      <c r="V133" s="47"/>
      <c r="W133" s="48" t="str">
        <f aca="false">IF(V133="","",IFERROR(V133/O133,""))</f>
        <v/>
      </c>
      <c r="X133" s="44"/>
      <c r="Y133" s="46"/>
      <c r="Z133" s="49"/>
      <c r="AA133" s="44"/>
      <c r="AB133" s="50" t="str">
        <f aca="false">IFERROR(INDEX(TABLA_IVA!$C$3:$C$6,MATCH(AA133,TABLA_IVA!$A$3:$A$6,0)),"")</f>
        <v/>
      </c>
      <c r="AC133" s="47"/>
      <c r="AD133" s="44"/>
      <c r="AE133" s="51"/>
      <c r="AF133" s="52" t="str">
        <f aca="false">IF(OR(AC133="",AE133="",AB133=""),"",IFERROR(AC133/(1-AE133)*(1+AB133),""))</f>
        <v/>
      </c>
      <c r="AG133" s="47"/>
      <c r="AH133" s="52" t="str">
        <f aca="false">IF(AD133="FIJO",IF(AG133="","",AG133),IF(AF133&lt;&gt;"",AF133,IF(AG133="","",AG133)))</f>
        <v/>
      </c>
      <c r="AI133" s="52" t="str">
        <f aca="false">IF(OR(AH133="",AB133=""),"",IFERROR(AH133/(1+AB133),""))</f>
        <v/>
      </c>
      <c r="AJ133" s="50" t="str">
        <f aca="false">IF(OR(AI133="",AC133=""),"",IFERROR((AI133-AC133)/AI133,""))</f>
        <v/>
      </c>
      <c r="AK133" s="53" t="str">
        <f aca="false">IF(OR(AJ133="",AE133=""),"",AJ133-AE133)</f>
        <v/>
      </c>
      <c r="AL133" s="54" t="str">
        <f aca="false">IF(OR(AH133="",AF133=""),"",AH133-AF133)</f>
        <v/>
      </c>
      <c r="AM133" s="55" t="str">
        <f aca="false">IF(OR(A133="",K133&lt;&gt;"SI"),"",IF(AE133="","Sin objetivo",IF(AJ133="","Faltan datos",IF(AJ133&lt;0,"PÉRDIDA",IF(AK133&lt;-UMB_CRITICO,"MUY POR DEBAJO",IF(AK133&lt;-UMB_BAJO,"POR DEBAJO",IF(AK133&lt;-UMB_AJUSTADO,"AJUSTADO",IF(AK133&lt;=UMB_ALTO,"EN OBJETIVO","POR ENCIMA"))))))))</f>
        <v/>
      </c>
      <c r="AN133" s="44"/>
      <c r="AO133" s="44"/>
      <c r="AP133" s="46"/>
      <c r="AQ133" s="46"/>
      <c r="AR133" s="46"/>
      <c r="AS133" s="44"/>
      <c r="AT133" s="44"/>
      <c r="AU133" s="44"/>
      <c r="AV133" s="44"/>
      <c r="AW133" s="44"/>
      <c r="AX133" s="45"/>
      <c r="AY133" s="44"/>
      <c r="AZ133" s="56"/>
      <c r="BA133" s="45"/>
    </row>
    <row r="134" customFormat="false" ht="15" hidden="false" customHeight="false" outlineLevel="0" collapsed="false">
      <c r="A134" s="44"/>
      <c r="B134" s="44"/>
      <c r="C134" s="45"/>
      <c r="D134" s="45"/>
      <c r="E134" s="44"/>
      <c r="F134" s="44"/>
      <c r="G134" s="44"/>
      <c r="H134" s="44"/>
      <c r="I134" s="44"/>
      <c r="J134" s="44"/>
      <c r="K134" s="44"/>
      <c r="L134" s="44"/>
      <c r="M134" s="44"/>
      <c r="N134" s="44"/>
      <c r="O134" s="46"/>
      <c r="P134" s="44"/>
      <c r="Q134" s="46"/>
      <c r="R134" s="44"/>
      <c r="S134" s="45"/>
      <c r="T134" s="44"/>
      <c r="U134" s="44"/>
      <c r="V134" s="47"/>
      <c r="W134" s="48" t="str">
        <f aca="false">IF(V134="","",IFERROR(V134/O134,""))</f>
        <v/>
      </c>
      <c r="X134" s="44"/>
      <c r="Y134" s="46"/>
      <c r="Z134" s="49"/>
      <c r="AA134" s="44"/>
      <c r="AB134" s="50" t="str">
        <f aca="false">IFERROR(INDEX(TABLA_IVA!$C$3:$C$6,MATCH(AA134,TABLA_IVA!$A$3:$A$6,0)),"")</f>
        <v/>
      </c>
      <c r="AC134" s="47"/>
      <c r="AD134" s="44"/>
      <c r="AE134" s="51"/>
      <c r="AF134" s="52" t="str">
        <f aca="false">IF(OR(AC134="",AE134="",AB134=""),"",IFERROR(AC134/(1-AE134)*(1+AB134),""))</f>
        <v/>
      </c>
      <c r="AG134" s="47"/>
      <c r="AH134" s="52" t="str">
        <f aca="false">IF(AD134="FIJO",IF(AG134="","",AG134),IF(AF134&lt;&gt;"",AF134,IF(AG134="","",AG134)))</f>
        <v/>
      </c>
      <c r="AI134" s="52" t="str">
        <f aca="false">IF(OR(AH134="",AB134=""),"",IFERROR(AH134/(1+AB134),""))</f>
        <v/>
      </c>
      <c r="AJ134" s="50" t="str">
        <f aca="false">IF(OR(AI134="",AC134=""),"",IFERROR((AI134-AC134)/AI134,""))</f>
        <v/>
      </c>
      <c r="AK134" s="53" t="str">
        <f aca="false">IF(OR(AJ134="",AE134=""),"",AJ134-AE134)</f>
        <v/>
      </c>
      <c r="AL134" s="54" t="str">
        <f aca="false">IF(OR(AH134="",AF134=""),"",AH134-AF134)</f>
        <v/>
      </c>
      <c r="AM134" s="55" t="str">
        <f aca="false">IF(OR(A134="",K134&lt;&gt;"SI"),"",IF(AE134="","Sin objetivo",IF(AJ134="","Faltan datos",IF(AJ134&lt;0,"PÉRDIDA",IF(AK134&lt;-UMB_CRITICO,"MUY POR DEBAJO",IF(AK134&lt;-UMB_BAJO,"POR DEBAJO",IF(AK134&lt;-UMB_AJUSTADO,"AJUSTADO",IF(AK134&lt;=UMB_ALTO,"EN OBJETIVO","POR ENCIMA"))))))))</f>
        <v/>
      </c>
      <c r="AN134" s="44"/>
      <c r="AO134" s="44"/>
      <c r="AP134" s="46"/>
      <c r="AQ134" s="46"/>
      <c r="AR134" s="46"/>
      <c r="AS134" s="44"/>
      <c r="AT134" s="44"/>
      <c r="AU134" s="44"/>
      <c r="AV134" s="44"/>
      <c r="AW134" s="44"/>
      <c r="AX134" s="45"/>
      <c r="AY134" s="44"/>
      <c r="AZ134" s="56"/>
      <c r="BA134" s="45"/>
    </row>
    <row r="135" customFormat="false" ht="15" hidden="false" customHeight="false" outlineLevel="0" collapsed="false">
      <c r="A135" s="44"/>
      <c r="B135" s="44"/>
      <c r="C135" s="45"/>
      <c r="D135" s="45"/>
      <c r="E135" s="44"/>
      <c r="F135" s="44"/>
      <c r="G135" s="44"/>
      <c r="H135" s="44"/>
      <c r="I135" s="44"/>
      <c r="J135" s="44"/>
      <c r="K135" s="44"/>
      <c r="L135" s="44"/>
      <c r="M135" s="44"/>
      <c r="N135" s="44"/>
      <c r="O135" s="46"/>
      <c r="P135" s="44"/>
      <c r="Q135" s="46"/>
      <c r="R135" s="44"/>
      <c r="S135" s="45"/>
      <c r="T135" s="44"/>
      <c r="U135" s="44"/>
      <c r="V135" s="47"/>
      <c r="W135" s="48" t="str">
        <f aca="false">IF(V135="","",IFERROR(V135/O135,""))</f>
        <v/>
      </c>
      <c r="X135" s="44"/>
      <c r="Y135" s="46"/>
      <c r="Z135" s="49"/>
      <c r="AA135" s="44"/>
      <c r="AB135" s="50" t="str">
        <f aca="false">IFERROR(INDEX(TABLA_IVA!$C$3:$C$6,MATCH(AA135,TABLA_IVA!$A$3:$A$6,0)),"")</f>
        <v/>
      </c>
      <c r="AC135" s="47"/>
      <c r="AD135" s="44"/>
      <c r="AE135" s="51"/>
      <c r="AF135" s="52" t="str">
        <f aca="false">IF(OR(AC135="",AE135="",AB135=""),"",IFERROR(AC135/(1-AE135)*(1+AB135),""))</f>
        <v/>
      </c>
      <c r="AG135" s="47"/>
      <c r="AH135" s="52" t="str">
        <f aca="false">IF(AD135="FIJO",IF(AG135="","",AG135),IF(AF135&lt;&gt;"",AF135,IF(AG135="","",AG135)))</f>
        <v/>
      </c>
      <c r="AI135" s="52" t="str">
        <f aca="false">IF(OR(AH135="",AB135=""),"",IFERROR(AH135/(1+AB135),""))</f>
        <v/>
      </c>
      <c r="AJ135" s="50" t="str">
        <f aca="false">IF(OR(AI135="",AC135=""),"",IFERROR((AI135-AC135)/AI135,""))</f>
        <v/>
      </c>
      <c r="AK135" s="53" t="str">
        <f aca="false">IF(OR(AJ135="",AE135=""),"",AJ135-AE135)</f>
        <v/>
      </c>
      <c r="AL135" s="54" t="str">
        <f aca="false">IF(OR(AH135="",AF135=""),"",AH135-AF135)</f>
        <v/>
      </c>
      <c r="AM135" s="55" t="str">
        <f aca="false">IF(OR(A135="",K135&lt;&gt;"SI"),"",IF(AE135="","Sin objetivo",IF(AJ135="","Faltan datos",IF(AJ135&lt;0,"PÉRDIDA",IF(AK135&lt;-UMB_CRITICO,"MUY POR DEBAJO",IF(AK135&lt;-UMB_BAJO,"POR DEBAJO",IF(AK135&lt;-UMB_AJUSTADO,"AJUSTADO",IF(AK135&lt;=UMB_ALTO,"EN OBJETIVO","POR ENCIMA"))))))))</f>
        <v/>
      </c>
      <c r="AN135" s="44"/>
      <c r="AO135" s="44"/>
      <c r="AP135" s="46"/>
      <c r="AQ135" s="46"/>
      <c r="AR135" s="46"/>
      <c r="AS135" s="44"/>
      <c r="AT135" s="44"/>
      <c r="AU135" s="44"/>
      <c r="AV135" s="44"/>
      <c r="AW135" s="44"/>
      <c r="AX135" s="45"/>
      <c r="AY135" s="44"/>
      <c r="AZ135" s="56"/>
      <c r="BA135" s="45"/>
    </row>
    <row r="136" customFormat="false" ht="15" hidden="false" customHeight="false" outlineLevel="0" collapsed="false">
      <c r="A136" s="44"/>
      <c r="B136" s="44"/>
      <c r="C136" s="45"/>
      <c r="D136" s="45"/>
      <c r="E136" s="44"/>
      <c r="F136" s="44"/>
      <c r="G136" s="44"/>
      <c r="H136" s="44"/>
      <c r="I136" s="44"/>
      <c r="J136" s="44"/>
      <c r="K136" s="44"/>
      <c r="L136" s="44"/>
      <c r="M136" s="44"/>
      <c r="N136" s="44"/>
      <c r="O136" s="46"/>
      <c r="P136" s="44"/>
      <c r="Q136" s="46"/>
      <c r="R136" s="44"/>
      <c r="S136" s="45"/>
      <c r="T136" s="44"/>
      <c r="U136" s="44"/>
      <c r="V136" s="47"/>
      <c r="W136" s="48" t="str">
        <f aca="false">IF(V136="","",IFERROR(V136/O136,""))</f>
        <v/>
      </c>
      <c r="X136" s="44"/>
      <c r="Y136" s="46"/>
      <c r="Z136" s="49"/>
      <c r="AA136" s="44"/>
      <c r="AB136" s="50" t="str">
        <f aca="false">IFERROR(INDEX(TABLA_IVA!$C$3:$C$6,MATCH(AA136,TABLA_IVA!$A$3:$A$6,0)),"")</f>
        <v/>
      </c>
      <c r="AC136" s="47"/>
      <c r="AD136" s="44"/>
      <c r="AE136" s="51"/>
      <c r="AF136" s="52" t="str">
        <f aca="false">IF(OR(AC136="",AE136="",AB136=""),"",IFERROR(AC136/(1-AE136)*(1+AB136),""))</f>
        <v/>
      </c>
      <c r="AG136" s="47"/>
      <c r="AH136" s="52" t="str">
        <f aca="false">IF(AD136="FIJO",IF(AG136="","",AG136),IF(AF136&lt;&gt;"",AF136,IF(AG136="","",AG136)))</f>
        <v/>
      </c>
      <c r="AI136" s="52" t="str">
        <f aca="false">IF(OR(AH136="",AB136=""),"",IFERROR(AH136/(1+AB136),""))</f>
        <v/>
      </c>
      <c r="AJ136" s="50" t="str">
        <f aca="false">IF(OR(AI136="",AC136=""),"",IFERROR((AI136-AC136)/AI136,""))</f>
        <v/>
      </c>
      <c r="AK136" s="53" t="str">
        <f aca="false">IF(OR(AJ136="",AE136=""),"",AJ136-AE136)</f>
        <v/>
      </c>
      <c r="AL136" s="54" t="str">
        <f aca="false">IF(OR(AH136="",AF136=""),"",AH136-AF136)</f>
        <v/>
      </c>
      <c r="AM136" s="55" t="str">
        <f aca="false">IF(OR(A136="",K136&lt;&gt;"SI"),"",IF(AE136="","Sin objetivo",IF(AJ136="","Faltan datos",IF(AJ136&lt;0,"PÉRDIDA",IF(AK136&lt;-UMB_CRITICO,"MUY POR DEBAJO",IF(AK136&lt;-UMB_BAJO,"POR DEBAJO",IF(AK136&lt;-UMB_AJUSTADO,"AJUSTADO",IF(AK136&lt;=UMB_ALTO,"EN OBJETIVO","POR ENCIMA"))))))))</f>
        <v/>
      </c>
      <c r="AN136" s="44"/>
      <c r="AO136" s="44"/>
      <c r="AP136" s="46"/>
      <c r="AQ136" s="46"/>
      <c r="AR136" s="46"/>
      <c r="AS136" s="44"/>
      <c r="AT136" s="44"/>
      <c r="AU136" s="44"/>
      <c r="AV136" s="44"/>
      <c r="AW136" s="44"/>
      <c r="AX136" s="45"/>
      <c r="AY136" s="44"/>
      <c r="AZ136" s="56"/>
      <c r="BA136" s="45"/>
    </row>
    <row r="137" customFormat="false" ht="15" hidden="false" customHeight="false" outlineLevel="0" collapsed="false">
      <c r="A137" s="44"/>
      <c r="B137" s="44"/>
      <c r="C137" s="45"/>
      <c r="D137" s="45"/>
      <c r="E137" s="44"/>
      <c r="F137" s="44"/>
      <c r="G137" s="44"/>
      <c r="H137" s="44"/>
      <c r="I137" s="44"/>
      <c r="J137" s="44"/>
      <c r="K137" s="44"/>
      <c r="L137" s="44"/>
      <c r="M137" s="44"/>
      <c r="N137" s="44"/>
      <c r="O137" s="46"/>
      <c r="P137" s="44"/>
      <c r="Q137" s="46"/>
      <c r="R137" s="44"/>
      <c r="S137" s="45"/>
      <c r="T137" s="44"/>
      <c r="U137" s="44"/>
      <c r="V137" s="47"/>
      <c r="W137" s="48" t="str">
        <f aca="false">IF(V137="","",IFERROR(V137/O137,""))</f>
        <v/>
      </c>
      <c r="X137" s="44"/>
      <c r="Y137" s="46"/>
      <c r="Z137" s="49"/>
      <c r="AA137" s="44"/>
      <c r="AB137" s="50" t="str">
        <f aca="false">IFERROR(INDEX(TABLA_IVA!$C$3:$C$6,MATCH(AA137,TABLA_IVA!$A$3:$A$6,0)),"")</f>
        <v/>
      </c>
      <c r="AC137" s="47"/>
      <c r="AD137" s="44"/>
      <c r="AE137" s="51"/>
      <c r="AF137" s="52" t="str">
        <f aca="false">IF(OR(AC137="",AE137="",AB137=""),"",IFERROR(AC137/(1-AE137)*(1+AB137),""))</f>
        <v/>
      </c>
      <c r="AG137" s="47"/>
      <c r="AH137" s="52" t="str">
        <f aca="false">IF(AD137="FIJO",IF(AG137="","",AG137),IF(AF137&lt;&gt;"",AF137,IF(AG137="","",AG137)))</f>
        <v/>
      </c>
      <c r="AI137" s="52" t="str">
        <f aca="false">IF(OR(AH137="",AB137=""),"",IFERROR(AH137/(1+AB137),""))</f>
        <v/>
      </c>
      <c r="AJ137" s="50" t="str">
        <f aca="false">IF(OR(AI137="",AC137=""),"",IFERROR((AI137-AC137)/AI137,""))</f>
        <v/>
      </c>
      <c r="AK137" s="53" t="str">
        <f aca="false">IF(OR(AJ137="",AE137=""),"",AJ137-AE137)</f>
        <v/>
      </c>
      <c r="AL137" s="54" t="str">
        <f aca="false">IF(OR(AH137="",AF137=""),"",AH137-AF137)</f>
        <v/>
      </c>
      <c r="AM137" s="55" t="str">
        <f aca="false">IF(OR(A137="",K137&lt;&gt;"SI"),"",IF(AE137="","Sin objetivo",IF(AJ137="","Faltan datos",IF(AJ137&lt;0,"PÉRDIDA",IF(AK137&lt;-UMB_CRITICO,"MUY POR DEBAJO",IF(AK137&lt;-UMB_BAJO,"POR DEBAJO",IF(AK137&lt;-UMB_AJUSTADO,"AJUSTADO",IF(AK137&lt;=UMB_ALTO,"EN OBJETIVO","POR ENCIMA"))))))))</f>
        <v/>
      </c>
      <c r="AN137" s="44"/>
      <c r="AO137" s="44"/>
      <c r="AP137" s="46"/>
      <c r="AQ137" s="46"/>
      <c r="AR137" s="46"/>
      <c r="AS137" s="44"/>
      <c r="AT137" s="44"/>
      <c r="AU137" s="44"/>
      <c r="AV137" s="44"/>
      <c r="AW137" s="44"/>
      <c r="AX137" s="45"/>
      <c r="AY137" s="44"/>
      <c r="AZ137" s="56"/>
      <c r="BA137" s="45"/>
    </row>
    <row r="138" customFormat="false" ht="15" hidden="false" customHeight="false" outlineLevel="0" collapsed="false">
      <c r="A138" s="44"/>
      <c r="B138" s="44"/>
      <c r="C138" s="45"/>
      <c r="D138" s="45"/>
      <c r="E138" s="44"/>
      <c r="F138" s="44"/>
      <c r="G138" s="44"/>
      <c r="H138" s="44"/>
      <c r="I138" s="44"/>
      <c r="J138" s="44"/>
      <c r="K138" s="44"/>
      <c r="L138" s="44"/>
      <c r="M138" s="44"/>
      <c r="N138" s="44"/>
      <c r="O138" s="46"/>
      <c r="P138" s="44"/>
      <c r="Q138" s="46"/>
      <c r="R138" s="44"/>
      <c r="S138" s="45"/>
      <c r="T138" s="44"/>
      <c r="U138" s="44"/>
      <c r="V138" s="47"/>
      <c r="W138" s="48" t="str">
        <f aca="false">IF(V138="","",IFERROR(V138/O138,""))</f>
        <v/>
      </c>
      <c r="X138" s="44"/>
      <c r="Y138" s="46"/>
      <c r="Z138" s="49"/>
      <c r="AA138" s="44"/>
      <c r="AB138" s="50" t="str">
        <f aca="false">IFERROR(INDEX(TABLA_IVA!$C$3:$C$6,MATCH(AA138,TABLA_IVA!$A$3:$A$6,0)),"")</f>
        <v/>
      </c>
      <c r="AC138" s="47"/>
      <c r="AD138" s="44"/>
      <c r="AE138" s="51"/>
      <c r="AF138" s="52" t="str">
        <f aca="false">IF(OR(AC138="",AE138="",AB138=""),"",IFERROR(AC138/(1-AE138)*(1+AB138),""))</f>
        <v/>
      </c>
      <c r="AG138" s="47"/>
      <c r="AH138" s="52" t="str">
        <f aca="false">IF(AD138="FIJO",IF(AG138="","",AG138),IF(AF138&lt;&gt;"",AF138,IF(AG138="","",AG138)))</f>
        <v/>
      </c>
      <c r="AI138" s="52" t="str">
        <f aca="false">IF(OR(AH138="",AB138=""),"",IFERROR(AH138/(1+AB138),""))</f>
        <v/>
      </c>
      <c r="AJ138" s="50" t="str">
        <f aca="false">IF(OR(AI138="",AC138=""),"",IFERROR((AI138-AC138)/AI138,""))</f>
        <v/>
      </c>
      <c r="AK138" s="53" t="str">
        <f aca="false">IF(OR(AJ138="",AE138=""),"",AJ138-AE138)</f>
        <v/>
      </c>
      <c r="AL138" s="54" t="str">
        <f aca="false">IF(OR(AH138="",AF138=""),"",AH138-AF138)</f>
        <v/>
      </c>
      <c r="AM138" s="55" t="str">
        <f aca="false">IF(OR(A138="",K138&lt;&gt;"SI"),"",IF(AE138="","Sin objetivo",IF(AJ138="","Faltan datos",IF(AJ138&lt;0,"PÉRDIDA",IF(AK138&lt;-UMB_CRITICO,"MUY POR DEBAJO",IF(AK138&lt;-UMB_BAJO,"POR DEBAJO",IF(AK138&lt;-UMB_AJUSTADO,"AJUSTADO",IF(AK138&lt;=UMB_ALTO,"EN OBJETIVO","POR ENCIMA"))))))))</f>
        <v/>
      </c>
      <c r="AN138" s="44"/>
      <c r="AO138" s="44"/>
      <c r="AP138" s="46"/>
      <c r="AQ138" s="46"/>
      <c r="AR138" s="46"/>
      <c r="AS138" s="44"/>
      <c r="AT138" s="44"/>
      <c r="AU138" s="44"/>
      <c r="AV138" s="44"/>
      <c r="AW138" s="44"/>
      <c r="AX138" s="45"/>
      <c r="AY138" s="44"/>
      <c r="AZ138" s="56"/>
      <c r="BA138" s="45"/>
    </row>
    <row r="139" customFormat="false" ht="15" hidden="false" customHeight="false" outlineLevel="0" collapsed="false">
      <c r="A139" s="44"/>
      <c r="B139" s="44"/>
      <c r="C139" s="45"/>
      <c r="D139" s="45"/>
      <c r="E139" s="44"/>
      <c r="F139" s="44"/>
      <c r="G139" s="44"/>
      <c r="H139" s="44"/>
      <c r="I139" s="44"/>
      <c r="J139" s="44"/>
      <c r="K139" s="44"/>
      <c r="L139" s="44"/>
      <c r="M139" s="44"/>
      <c r="N139" s="44"/>
      <c r="O139" s="46"/>
      <c r="P139" s="44"/>
      <c r="Q139" s="46"/>
      <c r="R139" s="44"/>
      <c r="S139" s="45"/>
      <c r="T139" s="44"/>
      <c r="U139" s="44"/>
      <c r="V139" s="47"/>
      <c r="W139" s="48" t="str">
        <f aca="false">IF(V139="","",IFERROR(V139/O139,""))</f>
        <v/>
      </c>
      <c r="X139" s="44"/>
      <c r="Y139" s="46"/>
      <c r="Z139" s="49"/>
      <c r="AA139" s="44"/>
      <c r="AB139" s="50" t="str">
        <f aca="false">IFERROR(INDEX(TABLA_IVA!$C$3:$C$6,MATCH(AA139,TABLA_IVA!$A$3:$A$6,0)),"")</f>
        <v/>
      </c>
      <c r="AC139" s="47"/>
      <c r="AD139" s="44"/>
      <c r="AE139" s="51"/>
      <c r="AF139" s="52" t="str">
        <f aca="false">IF(OR(AC139="",AE139="",AB139=""),"",IFERROR(AC139/(1-AE139)*(1+AB139),""))</f>
        <v/>
      </c>
      <c r="AG139" s="47"/>
      <c r="AH139" s="52" t="str">
        <f aca="false">IF(AD139="FIJO",IF(AG139="","",AG139),IF(AF139&lt;&gt;"",AF139,IF(AG139="","",AG139)))</f>
        <v/>
      </c>
      <c r="AI139" s="52" t="str">
        <f aca="false">IF(OR(AH139="",AB139=""),"",IFERROR(AH139/(1+AB139),""))</f>
        <v/>
      </c>
      <c r="AJ139" s="50" t="str">
        <f aca="false">IF(OR(AI139="",AC139=""),"",IFERROR((AI139-AC139)/AI139,""))</f>
        <v/>
      </c>
      <c r="AK139" s="53" t="str">
        <f aca="false">IF(OR(AJ139="",AE139=""),"",AJ139-AE139)</f>
        <v/>
      </c>
      <c r="AL139" s="54" t="str">
        <f aca="false">IF(OR(AH139="",AF139=""),"",AH139-AF139)</f>
        <v/>
      </c>
      <c r="AM139" s="55" t="str">
        <f aca="false">IF(OR(A139="",K139&lt;&gt;"SI"),"",IF(AE139="","Sin objetivo",IF(AJ139="","Faltan datos",IF(AJ139&lt;0,"PÉRDIDA",IF(AK139&lt;-UMB_CRITICO,"MUY POR DEBAJO",IF(AK139&lt;-UMB_BAJO,"POR DEBAJO",IF(AK139&lt;-UMB_AJUSTADO,"AJUSTADO",IF(AK139&lt;=UMB_ALTO,"EN OBJETIVO","POR ENCIMA"))))))))</f>
        <v/>
      </c>
      <c r="AN139" s="44"/>
      <c r="AO139" s="44"/>
      <c r="AP139" s="46"/>
      <c r="AQ139" s="46"/>
      <c r="AR139" s="46"/>
      <c r="AS139" s="44"/>
      <c r="AT139" s="44"/>
      <c r="AU139" s="44"/>
      <c r="AV139" s="44"/>
      <c r="AW139" s="44"/>
      <c r="AX139" s="45"/>
      <c r="AY139" s="44"/>
      <c r="AZ139" s="56"/>
      <c r="BA139" s="45"/>
    </row>
    <row r="140" customFormat="false" ht="15" hidden="false" customHeight="false" outlineLevel="0" collapsed="false">
      <c r="A140" s="44"/>
      <c r="B140" s="44"/>
      <c r="C140" s="45"/>
      <c r="D140" s="45"/>
      <c r="E140" s="44"/>
      <c r="F140" s="44"/>
      <c r="G140" s="44"/>
      <c r="H140" s="44"/>
      <c r="I140" s="44"/>
      <c r="J140" s="44"/>
      <c r="K140" s="44"/>
      <c r="L140" s="44"/>
      <c r="M140" s="44"/>
      <c r="N140" s="44"/>
      <c r="O140" s="46"/>
      <c r="P140" s="44"/>
      <c r="Q140" s="46"/>
      <c r="R140" s="44"/>
      <c r="S140" s="45"/>
      <c r="T140" s="44"/>
      <c r="U140" s="44"/>
      <c r="V140" s="47"/>
      <c r="W140" s="48" t="str">
        <f aca="false">IF(V140="","",IFERROR(V140/O140,""))</f>
        <v/>
      </c>
      <c r="X140" s="44"/>
      <c r="Y140" s="46"/>
      <c r="Z140" s="49"/>
      <c r="AA140" s="44"/>
      <c r="AB140" s="50" t="str">
        <f aca="false">IFERROR(INDEX(TABLA_IVA!$C$3:$C$6,MATCH(AA140,TABLA_IVA!$A$3:$A$6,0)),"")</f>
        <v/>
      </c>
      <c r="AC140" s="47"/>
      <c r="AD140" s="44"/>
      <c r="AE140" s="51"/>
      <c r="AF140" s="52" t="str">
        <f aca="false">IF(OR(AC140="",AE140="",AB140=""),"",IFERROR(AC140/(1-AE140)*(1+AB140),""))</f>
        <v/>
      </c>
      <c r="AG140" s="47"/>
      <c r="AH140" s="52" t="str">
        <f aca="false">IF(AD140="FIJO",IF(AG140="","",AG140),IF(AF140&lt;&gt;"",AF140,IF(AG140="","",AG140)))</f>
        <v/>
      </c>
      <c r="AI140" s="52" t="str">
        <f aca="false">IF(OR(AH140="",AB140=""),"",IFERROR(AH140/(1+AB140),""))</f>
        <v/>
      </c>
      <c r="AJ140" s="50" t="str">
        <f aca="false">IF(OR(AI140="",AC140=""),"",IFERROR((AI140-AC140)/AI140,""))</f>
        <v/>
      </c>
      <c r="AK140" s="53" t="str">
        <f aca="false">IF(OR(AJ140="",AE140=""),"",AJ140-AE140)</f>
        <v/>
      </c>
      <c r="AL140" s="54" t="str">
        <f aca="false">IF(OR(AH140="",AF140=""),"",AH140-AF140)</f>
        <v/>
      </c>
      <c r="AM140" s="55" t="str">
        <f aca="false">IF(OR(A140="",K140&lt;&gt;"SI"),"",IF(AE140="","Sin objetivo",IF(AJ140="","Faltan datos",IF(AJ140&lt;0,"PÉRDIDA",IF(AK140&lt;-UMB_CRITICO,"MUY POR DEBAJO",IF(AK140&lt;-UMB_BAJO,"POR DEBAJO",IF(AK140&lt;-UMB_AJUSTADO,"AJUSTADO",IF(AK140&lt;=UMB_ALTO,"EN OBJETIVO","POR ENCIMA"))))))))</f>
        <v/>
      </c>
      <c r="AN140" s="44"/>
      <c r="AO140" s="44"/>
      <c r="AP140" s="46"/>
      <c r="AQ140" s="46"/>
      <c r="AR140" s="46"/>
      <c r="AS140" s="44"/>
      <c r="AT140" s="44"/>
      <c r="AU140" s="44"/>
      <c r="AV140" s="44"/>
      <c r="AW140" s="44"/>
      <c r="AX140" s="45"/>
      <c r="AY140" s="44"/>
      <c r="AZ140" s="56"/>
      <c r="BA140" s="45"/>
    </row>
    <row r="141" customFormat="false" ht="15" hidden="false" customHeight="false" outlineLevel="0" collapsed="false">
      <c r="A141" s="44"/>
      <c r="B141" s="44"/>
      <c r="C141" s="45"/>
      <c r="D141" s="45"/>
      <c r="E141" s="44"/>
      <c r="F141" s="44"/>
      <c r="G141" s="44"/>
      <c r="H141" s="44"/>
      <c r="I141" s="44"/>
      <c r="J141" s="44"/>
      <c r="K141" s="44"/>
      <c r="L141" s="44"/>
      <c r="M141" s="44"/>
      <c r="N141" s="44"/>
      <c r="O141" s="46"/>
      <c r="P141" s="44"/>
      <c r="Q141" s="46"/>
      <c r="R141" s="44"/>
      <c r="S141" s="45"/>
      <c r="T141" s="44"/>
      <c r="U141" s="44"/>
      <c r="V141" s="47"/>
      <c r="W141" s="48" t="str">
        <f aca="false">IF(V141="","",IFERROR(V141/O141,""))</f>
        <v/>
      </c>
      <c r="X141" s="44"/>
      <c r="Y141" s="46"/>
      <c r="Z141" s="49"/>
      <c r="AA141" s="44"/>
      <c r="AB141" s="50" t="str">
        <f aca="false">IFERROR(INDEX(TABLA_IVA!$C$3:$C$6,MATCH(AA141,TABLA_IVA!$A$3:$A$6,0)),"")</f>
        <v/>
      </c>
      <c r="AC141" s="47"/>
      <c r="AD141" s="44"/>
      <c r="AE141" s="51"/>
      <c r="AF141" s="52" t="str">
        <f aca="false">IF(OR(AC141="",AE141="",AB141=""),"",IFERROR(AC141/(1-AE141)*(1+AB141),""))</f>
        <v/>
      </c>
      <c r="AG141" s="47"/>
      <c r="AH141" s="52" t="str">
        <f aca="false">IF(AD141="FIJO",IF(AG141="","",AG141),IF(AF141&lt;&gt;"",AF141,IF(AG141="","",AG141)))</f>
        <v/>
      </c>
      <c r="AI141" s="52" t="str">
        <f aca="false">IF(OR(AH141="",AB141=""),"",IFERROR(AH141/(1+AB141),""))</f>
        <v/>
      </c>
      <c r="AJ141" s="50" t="str">
        <f aca="false">IF(OR(AI141="",AC141=""),"",IFERROR((AI141-AC141)/AI141,""))</f>
        <v/>
      </c>
      <c r="AK141" s="53" t="str">
        <f aca="false">IF(OR(AJ141="",AE141=""),"",AJ141-AE141)</f>
        <v/>
      </c>
      <c r="AL141" s="54" t="str">
        <f aca="false">IF(OR(AH141="",AF141=""),"",AH141-AF141)</f>
        <v/>
      </c>
      <c r="AM141" s="55" t="str">
        <f aca="false">IF(OR(A141="",K141&lt;&gt;"SI"),"",IF(AE141="","Sin objetivo",IF(AJ141="","Faltan datos",IF(AJ141&lt;0,"PÉRDIDA",IF(AK141&lt;-UMB_CRITICO,"MUY POR DEBAJO",IF(AK141&lt;-UMB_BAJO,"POR DEBAJO",IF(AK141&lt;-UMB_AJUSTADO,"AJUSTADO",IF(AK141&lt;=UMB_ALTO,"EN OBJETIVO","POR ENCIMA"))))))))</f>
        <v/>
      </c>
      <c r="AN141" s="44"/>
      <c r="AO141" s="44"/>
      <c r="AP141" s="46"/>
      <c r="AQ141" s="46"/>
      <c r="AR141" s="46"/>
      <c r="AS141" s="44"/>
      <c r="AT141" s="44"/>
      <c r="AU141" s="44"/>
      <c r="AV141" s="44"/>
      <c r="AW141" s="44"/>
      <c r="AX141" s="45"/>
      <c r="AY141" s="44"/>
      <c r="AZ141" s="56"/>
      <c r="BA141" s="45"/>
    </row>
    <row r="142" customFormat="false" ht="15" hidden="false" customHeight="false" outlineLevel="0" collapsed="false">
      <c r="A142" s="44"/>
      <c r="B142" s="44"/>
      <c r="C142" s="45"/>
      <c r="D142" s="45"/>
      <c r="E142" s="44"/>
      <c r="F142" s="44"/>
      <c r="G142" s="44"/>
      <c r="H142" s="44"/>
      <c r="I142" s="44"/>
      <c r="J142" s="44"/>
      <c r="K142" s="44"/>
      <c r="L142" s="44"/>
      <c r="M142" s="44"/>
      <c r="N142" s="44"/>
      <c r="O142" s="46"/>
      <c r="P142" s="44"/>
      <c r="Q142" s="46"/>
      <c r="R142" s="44"/>
      <c r="S142" s="45"/>
      <c r="T142" s="44"/>
      <c r="U142" s="44"/>
      <c r="V142" s="47"/>
      <c r="W142" s="48" t="str">
        <f aca="false">IF(V142="","",IFERROR(V142/O142,""))</f>
        <v/>
      </c>
      <c r="X142" s="44"/>
      <c r="Y142" s="46"/>
      <c r="Z142" s="49"/>
      <c r="AA142" s="44"/>
      <c r="AB142" s="50" t="str">
        <f aca="false">IFERROR(INDEX(TABLA_IVA!$C$3:$C$6,MATCH(AA142,TABLA_IVA!$A$3:$A$6,0)),"")</f>
        <v/>
      </c>
      <c r="AC142" s="47"/>
      <c r="AD142" s="44"/>
      <c r="AE142" s="51"/>
      <c r="AF142" s="52" t="str">
        <f aca="false">IF(OR(AC142="",AE142="",AB142=""),"",IFERROR(AC142/(1-AE142)*(1+AB142),""))</f>
        <v/>
      </c>
      <c r="AG142" s="47"/>
      <c r="AH142" s="52" t="str">
        <f aca="false">IF(AD142="FIJO",IF(AG142="","",AG142),IF(AF142&lt;&gt;"",AF142,IF(AG142="","",AG142)))</f>
        <v/>
      </c>
      <c r="AI142" s="52" t="str">
        <f aca="false">IF(OR(AH142="",AB142=""),"",IFERROR(AH142/(1+AB142),""))</f>
        <v/>
      </c>
      <c r="AJ142" s="50" t="str">
        <f aca="false">IF(OR(AI142="",AC142=""),"",IFERROR((AI142-AC142)/AI142,""))</f>
        <v/>
      </c>
      <c r="AK142" s="53" t="str">
        <f aca="false">IF(OR(AJ142="",AE142=""),"",AJ142-AE142)</f>
        <v/>
      </c>
      <c r="AL142" s="54" t="str">
        <f aca="false">IF(OR(AH142="",AF142=""),"",AH142-AF142)</f>
        <v/>
      </c>
      <c r="AM142" s="55" t="str">
        <f aca="false">IF(OR(A142="",K142&lt;&gt;"SI"),"",IF(AE142="","Sin objetivo",IF(AJ142="","Faltan datos",IF(AJ142&lt;0,"PÉRDIDA",IF(AK142&lt;-UMB_CRITICO,"MUY POR DEBAJO",IF(AK142&lt;-UMB_BAJO,"POR DEBAJO",IF(AK142&lt;-UMB_AJUSTADO,"AJUSTADO",IF(AK142&lt;=UMB_ALTO,"EN OBJETIVO","POR ENCIMA"))))))))</f>
        <v/>
      </c>
      <c r="AN142" s="44"/>
      <c r="AO142" s="44"/>
      <c r="AP142" s="46"/>
      <c r="AQ142" s="46"/>
      <c r="AR142" s="46"/>
      <c r="AS142" s="44"/>
      <c r="AT142" s="44"/>
      <c r="AU142" s="44"/>
      <c r="AV142" s="44"/>
      <c r="AW142" s="44"/>
      <c r="AX142" s="45"/>
      <c r="AY142" s="44"/>
      <c r="AZ142" s="56"/>
      <c r="BA142" s="45"/>
    </row>
    <row r="143" customFormat="false" ht="15" hidden="false" customHeight="false" outlineLevel="0" collapsed="false">
      <c r="A143" s="44"/>
      <c r="B143" s="44"/>
      <c r="C143" s="45"/>
      <c r="D143" s="45"/>
      <c r="E143" s="44"/>
      <c r="F143" s="44"/>
      <c r="G143" s="44"/>
      <c r="H143" s="44"/>
      <c r="I143" s="44"/>
      <c r="J143" s="44"/>
      <c r="K143" s="44"/>
      <c r="L143" s="44"/>
      <c r="M143" s="44"/>
      <c r="N143" s="44"/>
      <c r="O143" s="46"/>
      <c r="P143" s="44"/>
      <c r="Q143" s="46"/>
      <c r="R143" s="44"/>
      <c r="S143" s="45"/>
      <c r="T143" s="44"/>
      <c r="U143" s="44"/>
      <c r="V143" s="47"/>
      <c r="W143" s="48" t="str">
        <f aca="false">IF(V143="","",IFERROR(V143/O143,""))</f>
        <v/>
      </c>
      <c r="X143" s="44"/>
      <c r="Y143" s="46"/>
      <c r="Z143" s="49"/>
      <c r="AA143" s="44"/>
      <c r="AB143" s="50" t="str">
        <f aca="false">IFERROR(INDEX(TABLA_IVA!$C$3:$C$6,MATCH(AA143,TABLA_IVA!$A$3:$A$6,0)),"")</f>
        <v/>
      </c>
      <c r="AC143" s="47"/>
      <c r="AD143" s="44"/>
      <c r="AE143" s="51"/>
      <c r="AF143" s="52" t="str">
        <f aca="false">IF(OR(AC143="",AE143="",AB143=""),"",IFERROR(AC143/(1-AE143)*(1+AB143),""))</f>
        <v/>
      </c>
      <c r="AG143" s="47"/>
      <c r="AH143" s="52" t="str">
        <f aca="false">IF(AD143="FIJO",IF(AG143="","",AG143),IF(AF143&lt;&gt;"",AF143,IF(AG143="","",AG143)))</f>
        <v/>
      </c>
      <c r="AI143" s="52" t="str">
        <f aca="false">IF(OR(AH143="",AB143=""),"",IFERROR(AH143/(1+AB143),""))</f>
        <v/>
      </c>
      <c r="AJ143" s="50" t="str">
        <f aca="false">IF(OR(AI143="",AC143=""),"",IFERROR((AI143-AC143)/AI143,""))</f>
        <v/>
      </c>
      <c r="AK143" s="53" t="str">
        <f aca="false">IF(OR(AJ143="",AE143=""),"",AJ143-AE143)</f>
        <v/>
      </c>
      <c r="AL143" s="54" t="str">
        <f aca="false">IF(OR(AH143="",AF143=""),"",AH143-AF143)</f>
        <v/>
      </c>
      <c r="AM143" s="55" t="str">
        <f aca="false">IF(OR(A143="",K143&lt;&gt;"SI"),"",IF(AE143="","Sin objetivo",IF(AJ143="","Faltan datos",IF(AJ143&lt;0,"PÉRDIDA",IF(AK143&lt;-UMB_CRITICO,"MUY POR DEBAJO",IF(AK143&lt;-UMB_BAJO,"POR DEBAJO",IF(AK143&lt;-UMB_AJUSTADO,"AJUSTADO",IF(AK143&lt;=UMB_ALTO,"EN OBJETIVO","POR ENCIMA"))))))))</f>
        <v/>
      </c>
      <c r="AN143" s="44"/>
      <c r="AO143" s="44"/>
      <c r="AP143" s="46"/>
      <c r="AQ143" s="46"/>
      <c r="AR143" s="46"/>
      <c r="AS143" s="44"/>
      <c r="AT143" s="44"/>
      <c r="AU143" s="44"/>
      <c r="AV143" s="44"/>
      <c r="AW143" s="44"/>
      <c r="AX143" s="45"/>
      <c r="AY143" s="44"/>
      <c r="AZ143" s="56"/>
      <c r="BA143" s="45"/>
    </row>
    <row r="144" customFormat="false" ht="15" hidden="false" customHeight="false" outlineLevel="0" collapsed="false">
      <c r="A144" s="44"/>
      <c r="B144" s="44"/>
      <c r="C144" s="45"/>
      <c r="D144" s="45"/>
      <c r="E144" s="44"/>
      <c r="F144" s="44"/>
      <c r="G144" s="44"/>
      <c r="H144" s="44"/>
      <c r="I144" s="44"/>
      <c r="J144" s="44"/>
      <c r="K144" s="44"/>
      <c r="L144" s="44"/>
      <c r="M144" s="44"/>
      <c r="N144" s="44"/>
      <c r="O144" s="46"/>
      <c r="P144" s="44"/>
      <c r="Q144" s="46"/>
      <c r="R144" s="44"/>
      <c r="S144" s="45"/>
      <c r="T144" s="44"/>
      <c r="U144" s="44"/>
      <c r="V144" s="47"/>
      <c r="W144" s="48" t="str">
        <f aca="false">IF(V144="","",IFERROR(V144/O144,""))</f>
        <v/>
      </c>
      <c r="X144" s="44"/>
      <c r="Y144" s="46"/>
      <c r="Z144" s="49"/>
      <c r="AA144" s="44"/>
      <c r="AB144" s="50" t="str">
        <f aca="false">IFERROR(INDEX(TABLA_IVA!$C$3:$C$6,MATCH(AA144,TABLA_IVA!$A$3:$A$6,0)),"")</f>
        <v/>
      </c>
      <c r="AC144" s="47"/>
      <c r="AD144" s="44"/>
      <c r="AE144" s="51"/>
      <c r="AF144" s="52" t="str">
        <f aca="false">IF(OR(AC144="",AE144="",AB144=""),"",IFERROR(AC144/(1-AE144)*(1+AB144),""))</f>
        <v/>
      </c>
      <c r="AG144" s="47"/>
      <c r="AH144" s="52" t="str">
        <f aca="false">IF(AD144="FIJO",IF(AG144="","",AG144),IF(AF144&lt;&gt;"",AF144,IF(AG144="","",AG144)))</f>
        <v/>
      </c>
      <c r="AI144" s="52" t="str">
        <f aca="false">IF(OR(AH144="",AB144=""),"",IFERROR(AH144/(1+AB144),""))</f>
        <v/>
      </c>
      <c r="AJ144" s="50" t="str">
        <f aca="false">IF(OR(AI144="",AC144=""),"",IFERROR((AI144-AC144)/AI144,""))</f>
        <v/>
      </c>
      <c r="AK144" s="53" t="str">
        <f aca="false">IF(OR(AJ144="",AE144=""),"",AJ144-AE144)</f>
        <v/>
      </c>
      <c r="AL144" s="54" t="str">
        <f aca="false">IF(OR(AH144="",AF144=""),"",AH144-AF144)</f>
        <v/>
      </c>
      <c r="AM144" s="55" t="str">
        <f aca="false">IF(OR(A144="",K144&lt;&gt;"SI"),"",IF(AE144="","Sin objetivo",IF(AJ144="","Faltan datos",IF(AJ144&lt;0,"PÉRDIDA",IF(AK144&lt;-UMB_CRITICO,"MUY POR DEBAJO",IF(AK144&lt;-UMB_BAJO,"POR DEBAJO",IF(AK144&lt;-UMB_AJUSTADO,"AJUSTADO",IF(AK144&lt;=UMB_ALTO,"EN OBJETIVO","POR ENCIMA"))))))))</f>
        <v/>
      </c>
      <c r="AN144" s="44"/>
      <c r="AO144" s="44"/>
      <c r="AP144" s="46"/>
      <c r="AQ144" s="46"/>
      <c r="AR144" s="46"/>
      <c r="AS144" s="44"/>
      <c r="AT144" s="44"/>
      <c r="AU144" s="44"/>
      <c r="AV144" s="44"/>
      <c r="AW144" s="44"/>
      <c r="AX144" s="45"/>
      <c r="AY144" s="44"/>
      <c r="AZ144" s="56"/>
      <c r="BA144" s="45"/>
    </row>
    <row r="145" customFormat="false" ht="15" hidden="false" customHeight="false" outlineLevel="0" collapsed="false">
      <c r="A145" s="44"/>
      <c r="B145" s="44"/>
      <c r="C145" s="45"/>
      <c r="D145" s="45"/>
      <c r="E145" s="44"/>
      <c r="F145" s="44"/>
      <c r="G145" s="44"/>
      <c r="H145" s="44"/>
      <c r="I145" s="44"/>
      <c r="J145" s="44"/>
      <c r="K145" s="44"/>
      <c r="L145" s="44"/>
      <c r="M145" s="44"/>
      <c r="N145" s="44"/>
      <c r="O145" s="46"/>
      <c r="P145" s="44"/>
      <c r="Q145" s="46"/>
      <c r="R145" s="44"/>
      <c r="S145" s="45"/>
      <c r="T145" s="44"/>
      <c r="U145" s="44"/>
      <c r="V145" s="47"/>
      <c r="W145" s="48" t="str">
        <f aca="false">IF(V145="","",IFERROR(V145/O145,""))</f>
        <v/>
      </c>
      <c r="X145" s="44"/>
      <c r="Y145" s="46"/>
      <c r="Z145" s="49"/>
      <c r="AA145" s="44"/>
      <c r="AB145" s="50" t="str">
        <f aca="false">IFERROR(INDEX(TABLA_IVA!$C$3:$C$6,MATCH(AA145,TABLA_IVA!$A$3:$A$6,0)),"")</f>
        <v/>
      </c>
      <c r="AC145" s="47"/>
      <c r="AD145" s="44"/>
      <c r="AE145" s="51"/>
      <c r="AF145" s="52" t="str">
        <f aca="false">IF(OR(AC145="",AE145="",AB145=""),"",IFERROR(AC145/(1-AE145)*(1+AB145),""))</f>
        <v/>
      </c>
      <c r="AG145" s="47"/>
      <c r="AH145" s="52" t="str">
        <f aca="false">IF(AD145="FIJO",IF(AG145="","",AG145),IF(AF145&lt;&gt;"",AF145,IF(AG145="","",AG145)))</f>
        <v/>
      </c>
      <c r="AI145" s="52" t="str">
        <f aca="false">IF(OR(AH145="",AB145=""),"",IFERROR(AH145/(1+AB145),""))</f>
        <v/>
      </c>
      <c r="AJ145" s="50" t="str">
        <f aca="false">IF(OR(AI145="",AC145=""),"",IFERROR((AI145-AC145)/AI145,""))</f>
        <v/>
      </c>
      <c r="AK145" s="53" t="str">
        <f aca="false">IF(OR(AJ145="",AE145=""),"",AJ145-AE145)</f>
        <v/>
      </c>
      <c r="AL145" s="54" t="str">
        <f aca="false">IF(OR(AH145="",AF145=""),"",AH145-AF145)</f>
        <v/>
      </c>
      <c r="AM145" s="55" t="str">
        <f aca="false">IF(OR(A145="",K145&lt;&gt;"SI"),"",IF(AE145="","Sin objetivo",IF(AJ145="","Faltan datos",IF(AJ145&lt;0,"PÉRDIDA",IF(AK145&lt;-UMB_CRITICO,"MUY POR DEBAJO",IF(AK145&lt;-UMB_BAJO,"POR DEBAJO",IF(AK145&lt;-UMB_AJUSTADO,"AJUSTADO",IF(AK145&lt;=UMB_ALTO,"EN OBJETIVO","POR ENCIMA"))))))))</f>
        <v/>
      </c>
      <c r="AN145" s="44"/>
      <c r="AO145" s="44"/>
      <c r="AP145" s="46"/>
      <c r="AQ145" s="46"/>
      <c r="AR145" s="46"/>
      <c r="AS145" s="44"/>
      <c r="AT145" s="44"/>
      <c r="AU145" s="44"/>
      <c r="AV145" s="44"/>
      <c r="AW145" s="44"/>
      <c r="AX145" s="45"/>
      <c r="AY145" s="44"/>
      <c r="AZ145" s="56"/>
      <c r="BA145" s="45"/>
    </row>
    <row r="146" customFormat="false" ht="15" hidden="false" customHeight="false" outlineLevel="0" collapsed="false">
      <c r="A146" s="44"/>
      <c r="B146" s="44"/>
      <c r="C146" s="45"/>
      <c r="D146" s="45"/>
      <c r="E146" s="44"/>
      <c r="F146" s="44"/>
      <c r="G146" s="44"/>
      <c r="H146" s="44"/>
      <c r="I146" s="44"/>
      <c r="J146" s="44"/>
      <c r="K146" s="44"/>
      <c r="L146" s="44"/>
      <c r="M146" s="44"/>
      <c r="N146" s="44"/>
      <c r="O146" s="46"/>
      <c r="P146" s="44"/>
      <c r="Q146" s="46"/>
      <c r="R146" s="44"/>
      <c r="S146" s="45"/>
      <c r="T146" s="44"/>
      <c r="U146" s="44"/>
      <c r="V146" s="47"/>
      <c r="W146" s="48" t="str">
        <f aca="false">IF(V146="","",IFERROR(V146/O146,""))</f>
        <v/>
      </c>
      <c r="X146" s="44"/>
      <c r="Y146" s="46"/>
      <c r="Z146" s="49"/>
      <c r="AA146" s="44"/>
      <c r="AB146" s="50" t="str">
        <f aca="false">IFERROR(INDEX(TABLA_IVA!$C$3:$C$6,MATCH(AA146,TABLA_IVA!$A$3:$A$6,0)),"")</f>
        <v/>
      </c>
      <c r="AC146" s="47"/>
      <c r="AD146" s="44"/>
      <c r="AE146" s="51"/>
      <c r="AF146" s="52" t="str">
        <f aca="false">IF(OR(AC146="",AE146="",AB146=""),"",IFERROR(AC146/(1-AE146)*(1+AB146),""))</f>
        <v/>
      </c>
      <c r="AG146" s="47"/>
      <c r="AH146" s="52" t="str">
        <f aca="false">IF(AD146="FIJO",IF(AG146="","",AG146),IF(AF146&lt;&gt;"",AF146,IF(AG146="","",AG146)))</f>
        <v/>
      </c>
      <c r="AI146" s="52" t="str">
        <f aca="false">IF(OR(AH146="",AB146=""),"",IFERROR(AH146/(1+AB146),""))</f>
        <v/>
      </c>
      <c r="AJ146" s="50" t="str">
        <f aca="false">IF(OR(AI146="",AC146=""),"",IFERROR((AI146-AC146)/AI146,""))</f>
        <v/>
      </c>
      <c r="AK146" s="53" t="str">
        <f aca="false">IF(OR(AJ146="",AE146=""),"",AJ146-AE146)</f>
        <v/>
      </c>
      <c r="AL146" s="54" t="str">
        <f aca="false">IF(OR(AH146="",AF146=""),"",AH146-AF146)</f>
        <v/>
      </c>
      <c r="AM146" s="55" t="str">
        <f aca="false">IF(OR(A146="",K146&lt;&gt;"SI"),"",IF(AE146="","Sin objetivo",IF(AJ146="","Faltan datos",IF(AJ146&lt;0,"PÉRDIDA",IF(AK146&lt;-UMB_CRITICO,"MUY POR DEBAJO",IF(AK146&lt;-UMB_BAJO,"POR DEBAJO",IF(AK146&lt;-UMB_AJUSTADO,"AJUSTADO",IF(AK146&lt;=UMB_ALTO,"EN OBJETIVO","POR ENCIMA"))))))))</f>
        <v/>
      </c>
      <c r="AN146" s="44"/>
      <c r="AO146" s="44"/>
      <c r="AP146" s="46"/>
      <c r="AQ146" s="46"/>
      <c r="AR146" s="46"/>
      <c r="AS146" s="44"/>
      <c r="AT146" s="44"/>
      <c r="AU146" s="44"/>
      <c r="AV146" s="44"/>
      <c r="AW146" s="44"/>
      <c r="AX146" s="45"/>
      <c r="AY146" s="44"/>
      <c r="AZ146" s="56"/>
      <c r="BA146" s="45"/>
    </row>
    <row r="147" customFormat="false" ht="15" hidden="false" customHeight="false" outlineLevel="0" collapsed="false">
      <c r="A147" s="44"/>
      <c r="B147" s="44"/>
      <c r="C147" s="45"/>
      <c r="D147" s="45"/>
      <c r="E147" s="44"/>
      <c r="F147" s="44"/>
      <c r="G147" s="44"/>
      <c r="H147" s="44"/>
      <c r="I147" s="44"/>
      <c r="J147" s="44"/>
      <c r="K147" s="44"/>
      <c r="L147" s="44"/>
      <c r="M147" s="44"/>
      <c r="N147" s="44"/>
      <c r="O147" s="46"/>
      <c r="P147" s="44"/>
      <c r="Q147" s="46"/>
      <c r="R147" s="44"/>
      <c r="S147" s="45"/>
      <c r="T147" s="44"/>
      <c r="U147" s="44"/>
      <c r="V147" s="47"/>
      <c r="W147" s="48" t="str">
        <f aca="false">IF(V147="","",IFERROR(V147/O147,""))</f>
        <v/>
      </c>
      <c r="X147" s="44"/>
      <c r="Y147" s="46"/>
      <c r="Z147" s="49"/>
      <c r="AA147" s="44"/>
      <c r="AB147" s="50" t="str">
        <f aca="false">IFERROR(INDEX(TABLA_IVA!$C$3:$C$6,MATCH(AA147,TABLA_IVA!$A$3:$A$6,0)),"")</f>
        <v/>
      </c>
      <c r="AC147" s="47"/>
      <c r="AD147" s="44"/>
      <c r="AE147" s="51"/>
      <c r="AF147" s="52" t="str">
        <f aca="false">IF(OR(AC147="",AE147="",AB147=""),"",IFERROR(AC147/(1-AE147)*(1+AB147),""))</f>
        <v/>
      </c>
      <c r="AG147" s="47"/>
      <c r="AH147" s="52" t="str">
        <f aca="false">IF(AD147="FIJO",IF(AG147="","",AG147),IF(AF147&lt;&gt;"",AF147,IF(AG147="","",AG147)))</f>
        <v/>
      </c>
      <c r="AI147" s="52" t="str">
        <f aca="false">IF(OR(AH147="",AB147=""),"",IFERROR(AH147/(1+AB147),""))</f>
        <v/>
      </c>
      <c r="AJ147" s="50" t="str">
        <f aca="false">IF(OR(AI147="",AC147=""),"",IFERROR((AI147-AC147)/AI147,""))</f>
        <v/>
      </c>
      <c r="AK147" s="53" t="str">
        <f aca="false">IF(OR(AJ147="",AE147=""),"",AJ147-AE147)</f>
        <v/>
      </c>
      <c r="AL147" s="54" t="str">
        <f aca="false">IF(OR(AH147="",AF147=""),"",AH147-AF147)</f>
        <v/>
      </c>
      <c r="AM147" s="55" t="str">
        <f aca="false">IF(OR(A147="",K147&lt;&gt;"SI"),"",IF(AE147="","Sin objetivo",IF(AJ147="","Faltan datos",IF(AJ147&lt;0,"PÉRDIDA",IF(AK147&lt;-UMB_CRITICO,"MUY POR DEBAJO",IF(AK147&lt;-UMB_BAJO,"POR DEBAJO",IF(AK147&lt;-UMB_AJUSTADO,"AJUSTADO",IF(AK147&lt;=UMB_ALTO,"EN OBJETIVO","POR ENCIMA"))))))))</f>
        <v/>
      </c>
      <c r="AN147" s="44"/>
      <c r="AO147" s="44"/>
      <c r="AP147" s="46"/>
      <c r="AQ147" s="46"/>
      <c r="AR147" s="46"/>
      <c r="AS147" s="44"/>
      <c r="AT147" s="44"/>
      <c r="AU147" s="44"/>
      <c r="AV147" s="44"/>
      <c r="AW147" s="44"/>
      <c r="AX147" s="45"/>
      <c r="AY147" s="44"/>
      <c r="AZ147" s="56"/>
      <c r="BA147" s="45"/>
    </row>
    <row r="148" customFormat="false" ht="15" hidden="false" customHeight="false" outlineLevel="0" collapsed="false">
      <c r="A148" s="44"/>
      <c r="B148" s="44"/>
      <c r="C148" s="45"/>
      <c r="D148" s="45"/>
      <c r="E148" s="44"/>
      <c r="F148" s="44"/>
      <c r="G148" s="44"/>
      <c r="H148" s="44"/>
      <c r="I148" s="44"/>
      <c r="J148" s="44"/>
      <c r="K148" s="44"/>
      <c r="L148" s="44"/>
      <c r="M148" s="44"/>
      <c r="N148" s="44"/>
      <c r="O148" s="46"/>
      <c r="P148" s="44"/>
      <c r="Q148" s="46"/>
      <c r="R148" s="44"/>
      <c r="S148" s="45"/>
      <c r="T148" s="44"/>
      <c r="U148" s="44"/>
      <c r="V148" s="47"/>
      <c r="W148" s="48" t="str">
        <f aca="false">IF(V148="","",IFERROR(V148/O148,""))</f>
        <v/>
      </c>
      <c r="X148" s="44"/>
      <c r="Y148" s="46"/>
      <c r="Z148" s="49"/>
      <c r="AA148" s="44"/>
      <c r="AB148" s="50" t="str">
        <f aca="false">IFERROR(INDEX(TABLA_IVA!$C$3:$C$6,MATCH(AA148,TABLA_IVA!$A$3:$A$6,0)),"")</f>
        <v/>
      </c>
      <c r="AC148" s="47"/>
      <c r="AD148" s="44"/>
      <c r="AE148" s="51"/>
      <c r="AF148" s="52" t="str">
        <f aca="false">IF(OR(AC148="",AE148="",AB148=""),"",IFERROR(AC148/(1-AE148)*(1+AB148),""))</f>
        <v/>
      </c>
      <c r="AG148" s="47"/>
      <c r="AH148" s="52" t="str">
        <f aca="false">IF(AD148="FIJO",IF(AG148="","",AG148),IF(AF148&lt;&gt;"",AF148,IF(AG148="","",AG148)))</f>
        <v/>
      </c>
      <c r="AI148" s="52" t="str">
        <f aca="false">IF(OR(AH148="",AB148=""),"",IFERROR(AH148/(1+AB148),""))</f>
        <v/>
      </c>
      <c r="AJ148" s="50" t="str">
        <f aca="false">IF(OR(AI148="",AC148=""),"",IFERROR((AI148-AC148)/AI148,""))</f>
        <v/>
      </c>
      <c r="AK148" s="53" t="str">
        <f aca="false">IF(OR(AJ148="",AE148=""),"",AJ148-AE148)</f>
        <v/>
      </c>
      <c r="AL148" s="54" t="str">
        <f aca="false">IF(OR(AH148="",AF148=""),"",AH148-AF148)</f>
        <v/>
      </c>
      <c r="AM148" s="55" t="str">
        <f aca="false">IF(OR(A148="",K148&lt;&gt;"SI"),"",IF(AE148="","Sin objetivo",IF(AJ148="","Faltan datos",IF(AJ148&lt;0,"PÉRDIDA",IF(AK148&lt;-UMB_CRITICO,"MUY POR DEBAJO",IF(AK148&lt;-UMB_BAJO,"POR DEBAJO",IF(AK148&lt;-UMB_AJUSTADO,"AJUSTADO",IF(AK148&lt;=UMB_ALTO,"EN OBJETIVO","POR ENCIMA"))))))))</f>
        <v/>
      </c>
      <c r="AN148" s="44"/>
      <c r="AO148" s="44"/>
      <c r="AP148" s="46"/>
      <c r="AQ148" s="46"/>
      <c r="AR148" s="46"/>
      <c r="AS148" s="44"/>
      <c r="AT148" s="44"/>
      <c r="AU148" s="44"/>
      <c r="AV148" s="44"/>
      <c r="AW148" s="44"/>
      <c r="AX148" s="45"/>
      <c r="AY148" s="44"/>
      <c r="AZ148" s="56"/>
      <c r="BA148" s="45"/>
    </row>
    <row r="149" customFormat="false" ht="15" hidden="false" customHeight="false" outlineLevel="0" collapsed="false">
      <c r="A149" s="44"/>
      <c r="B149" s="44"/>
      <c r="C149" s="45"/>
      <c r="D149" s="45"/>
      <c r="E149" s="44"/>
      <c r="F149" s="44"/>
      <c r="G149" s="44"/>
      <c r="H149" s="44"/>
      <c r="I149" s="44"/>
      <c r="J149" s="44"/>
      <c r="K149" s="44"/>
      <c r="L149" s="44"/>
      <c r="M149" s="44"/>
      <c r="N149" s="44"/>
      <c r="O149" s="46"/>
      <c r="P149" s="44"/>
      <c r="Q149" s="46"/>
      <c r="R149" s="44"/>
      <c r="S149" s="45"/>
      <c r="T149" s="44"/>
      <c r="U149" s="44"/>
      <c r="V149" s="47"/>
      <c r="W149" s="48" t="str">
        <f aca="false">IF(V149="","",IFERROR(V149/O149,""))</f>
        <v/>
      </c>
      <c r="X149" s="44"/>
      <c r="Y149" s="46"/>
      <c r="Z149" s="49"/>
      <c r="AA149" s="44"/>
      <c r="AB149" s="50" t="str">
        <f aca="false">IFERROR(INDEX(TABLA_IVA!$C$3:$C$6,MATCH(AA149,TABLA_IVA!$A$3:$A$6,0)),"")</f>
        <v/>
      </c>
      <c r="AC149" s="47"/>
      <c r="AD149" s="44"/>
      <c r="AE149" s="51"/>
      <c r="AF149" s="52" t="str">
        <f aca="false">IF(OR(AC149="",AE149="",AB149=""),"",IFERROR(AC149/(1-AE149)*(1+AB149),""))</f>
        <v/>
      </c>
      <c r="AG149" s="47"/>
      <c r="AH149" s="52" t="str">
        <f aca="false">IF(AD149="FIJO",IF(AG149="","",AG149),IF(AF149&lt;&gt;"",AF149,IF(AG149="","",AG149)))</f>
        <v/>
      </c>
      <c r="AI149" s="52" t="str">
        <f aca="false">IF(OR(AH149="",AB149=""),"",IFERROR(AH149/(1+AB149),""))</f>
        <v/>
      </c>
      <c r="AJ149" s="50" t="str">
        <f aca="false">IF(OR(AI149="",AC149=""),"",IFERROR((AI149-AC149)/AI149,""))</f>
        <v/>
      </c>
      <c r="AK149" s="53" t="str">
        <f aca="false">IF(OR(AJ149="",AE149=""),"",AJ149-AE149)</f>
        <v/>
      </c>
      <c r="AL149" s="54" t="str">
        <f aca="false">IF(OR(AH149="",AF149=""),"",AH149-AF149)</f>
        <v/>
      </c>
      <c r="AM149" s="55" t="str">
        <f aca="false">IF(OR(A149="",K149&lt;&gt;"SI"),"",IF(AE149="","Sin objetivo",IF(AJ149="","Faltan datos",IF(AJ149&lt;0,"PÉRDIDA",IF(AK149&lt;-UMB_CRITICO,"MUY POR DEBAJO",IF(AK149&lt;-UMB_BAJO,"POR DEBAJO",IF(AK149&lt;-UMB_AJUSTADO,"AJUSTADO",IF(AK149&lt;=UMB_ALTO,"EN OBJETIVO","POR ENCIMA"))))))))</f>
        <v/>
      </c>
      <c r="AN149" s="44"/>
      <c r="AO149" s="44"/>
      <c r="AP149" s="46"/>
      <c r="AQ149" s="46"/>
      <c r="AR149" s="46"/>
      <c r="AS149" s="44"/>
      <c r="AT149" s="44"/>
      <c r="AU149" s="44"/>
      <c r="AV149" s="44"/>
      <c r="AW149" s="44"/>
      <c r="AX149" s="45"/>
      <c r="AY149" s="44"/>
      <c r="AZ149" s="56"/>
      <c r="BA149" s="45"/>
    </row>
    <row r="150" customFormat="false" ht="15" hidden="false" customHeight="false" outlineLevel="0" collapsed="false">
      <c r="A150" s="44"/>
      <c r="B150" s="44"/>
      <c r="C150" s="45"/>
      <c r="D150" s="45"/>
      <c r="E150" s="44"/>
      <c r="F150" s="44"/>
      <c r="G150" s="44"/>
      <c r="H150" s="44"/>
      <c r="I150" s="44"/>
      <c r="J150" s="44"/>
      <c r="K150" s="44"/>
      <c r="L150" s="44"/>
      <c r="M150" s="44"/>
      <c r="N150" s="44"/>
      <c r="O150" s="46"/>
      <c r="P150" s="44"/>
      <c r="Q150" s="46"/>
      <c r="R150" s="44"/>
      <c r="S150" s="45"/>
      <c r="T150" s="44"/>
      <c r="U150" s="44"/>
      <c r="V150" s="47"/>
      <c r="W150" s="48" t="str">
        <f aca="false">IF(V150="","",IFERROR(V150/O150,""))</f>
        <v/>
      </c>
      <c r="X150" s="44"/>
      <c r="Y150" s="46"/>
      <c r="Z150" s="49"/>
      <c r="AA150" s="44"/>
      <c r="AB150" s="50" t="str">
        <f aca="false">IFERROR(INDEX(TABLA_IVA!$C$3:$C$6,MATCH(AA150,TABLA_IVA!$A$3:$A$6,0)),"")</f>
        <v/>
      </c>
      <c r="AC150" s="47"/>
      <c r="AD150" s="44"/>
      <c r="AE150" s="51"/>
      <c r="AF150" s="52" t="str">
        <f aca="false">IF(OR(AC150="",AE150="",AB150=""),"",IFERROR(AC150/(1-AE150)*(1+AB150),""))</f>
        <v/>
      </c>
      <c r="AG150" s="47"/>
      <c r="AH150" s="52" t="str">
        <f aca="false">IF(AD150="FIJO",IF(AG150="","",AG150),IF(AF150&lt;&gt;"",AF150,IF(AG150="","",AG150)))</f>
        <v/>
      </c>
      <c r="AI150" s="52" t="str">
        <f aca="false">IF(OR(AH150="",AB150=""),"",IFERROR(AH150/(1+AB150),""))</f>
        <v/>
      </c>
      <c r="AJ150" s="50" t="str">
        <f aca="false">IF(OR(AI150="",AC150=""),"",IFERROR((AI150-AC150)/AI150,""))</f>
        <v/>
      </c>
      <c r="AK150" s="53" t="str">
        <f aca="false">IF(OR(AJ150="",AE150=""),"",AJ150-AE150)</f>
        <v/>
      </c>
      <c r="AL150" s="54" t="str">
        <f aca="false">IF(OR(AH150="",AF150=""),"",AH150-AF150)</f>
        <v/>
      </c>
      <c r="AM150" s="55" t="str">
        <f aca="false">IF(OR(A150="",K150&lt;&gt;"SI"),"",IF(AE150="","Sin objetivo",IF(AJ150="","Faltan datos",IF(AJ150&lt;0,"PÉRDIDA",IF(AK150&lt;-UMB_CRITICO,"MUY POR DEBAJO",IF(AK150&lt;-UMB_BAJO,"POR DEBAJO",IF(AK150&lt;-UMB_AJUSTADO,"AJUSTADO",IF(AK150&lt;=UMB_ALTO,"EN OBJETIVO","POR ENCIMA"))))))))</f>
        <v/>
      </c>
      <c r="AN150" s="44"/>
      <c r="AO150" s="44"/>
      <c r="AP150" s="46"/>
      <c r="AQ150" s="46"/>
      <c r="AR150" s="46"/>
      <c r="AS150" s="44"/>
      <c r="AT150" s="44"/>
      <c r="AU150" s="44"/>
      <c r="AV150" s="44"/>
      <c r="AW150" s="44"/>
      <c r="AX150" s="45"/>
      <c r="AY150" s="44"/>
      <c r="AZ150" s="56"/>
      <c r="BA150" s="45"/>
    </row>
    <row r="151" customFormat="false" ht="15" hidden="false" customHeight="false" outlineLevel="0" collapsed="false">
      <c r="A151" s="44"/>
      <c r="B151" s="44"/>
      <c r="C151" s="45"/>
      <c r="D151" s="45"/>
      <c r="E151" s="44"/>
      <c r="F151" s="44"/>
      <c r="G151" s="44"/>
      <c r="H151" s="44"/>
      <c r="I151" s="44"/>
      <c r="J151" s="44"/>
      <c r="K151" s="44"/>
      <c r="L151" s="44"/>
      <c r="M151" s="44"/>
      <c r="N151" s="44"/>
      <c r="O151" s="46"/>
      <c r="P151" s="44"/>
      <c r="Q151" s="46"/>
      <c r="R151" s="44"/>
      <c r="S151" s="45"/>
      <c r="T151" s="44"/>
      <c r="U151" s="44"/>
      <c r="V151" s="47"/>
      <c r="W151" s="48" t="str">
        <f aca="false">IF(V151="","",IFERROR(V151/O151,""))</f>
        <v/>
      </c>
      <c r="X151" s="44"/>
      <c r="Y151" s="46"/>
      <c r="Z151" s="49"/>
      <c r="AA151" s="44"/>
      <c r="AB151" s="50" t="str">
        <f aca="false">IFERROR(INDEX(TABLA_IVA!$C$3:$C$6,MATCH(AA151,TABLA_IVA!$A$3:$A$6,0)),"")</f>
        <v/>
      </c>
      <c r="AC151" s="47"/>
      <c r="AD151" s="44"/>
      <c r="AE151" s="51"/>
      <c r="AF151" s="52" t="str">
        <f aca="false">IF(OR(AC151="",AE151="",AB151=""),"",IFERROR(AC151/(1-AE151)*(1+AB151),""))</f>
        <v/>
      </c>
      <c r="AG151" s="47"/>
      <c r="AH151" s="52" t="str">
        <f aca="false">IF(AD151="FIJO",IF(AG151="","",AG151),IF(AF151&lt;&gt;"",AF151,IF(AG151="","",AG151)))</f>
        <v/>
      </c>
      <c r="AI151" s="52" t="str">
        <f aca="false">IF(OR(AH151="",AB151=""),"",IFERROR(AH151/(1+AB151),""))</f>
        <v/>
      </c>
      <c r="AJ151" s="50" t="str">
        <f aca="false">IF(OR(AI151="",AC151=""),"",IFERROR((AI151-AC151)/AI151,""))</f>
        <v/>
      </c>
      <c r="AK151" s="53" t="str">
        <f aca="false">IF(OR(AJ151="",AE151=""),"",AJ151-AE151)</f>
        <v/>
      </c>
      <c r="AL151" s="54" t="str">
        <f aca="false">IF(OR(AH151="",AF151=""),"",AH151-AF151)</f>
        <v/>
      </c>
      <c r="AM151" s="55" t="str">
        <f aca="false">IF(OR(A151="",K151&lt;&gt;"SI"),"",IF(AE151="","Sin objetivo",IF(AJ151="","Faltan datos",IF(AJ151&lt;0,"PÉRDIDA",IF(AK151&lt;-UMB_CRITICO,"MUY POR DEBAJO",IF(AK151&lt;-UMB_BAJO,"POR DEBAJO",IF(AK151&lt;-UMB_AJUSTADO,"AJUSTADO",IF(AK151&lt;=UMB_ALTO,"EN OBJETIVO","POR ENCIMA"))))))))</f>
        <v/>
      </c>
      <c r="AN151" s="44"/>
      <c r="AO151" s="44"/>
      <c r="AP151" s="46"/>
      <c r="AQ151" s="46"/>
      <c r="AR151" s="46"/>
      <c r="AS151" s="44"/>
      <c r="AT151" s="44"/>
      <c r="AU151" s="44"/>
      <c r="AV151" s="44"/>
      <c r="AW151" s="44"/>
      <c r="AX151" s="45"/>
      <c r="AY151" s="44"/>
      <c r="AZ151" s="56"/>
      <c r="BA151" s="45"/>
    </row>
    <row r="152" customFormat="false" ht="15" hidden="false" customHeight="false" outlineLevel="0" collapsed="false">
      <c r="A152" s="44"/>
      <c r="B152" s="44"/>
      <c r="C152" s="45"/>
      <c r="D152" s="45"/>
      <c r="E152" s="44"/>
      <c r="F152" s="44"/>
      <c r="G152" s="44"/>
      <c r="H152" s="44"/>
      <c r="I152" s="44"/>
      <c r="J152" s="44"/>
      <c r="K152" s="44"/>
      <c r="L152" s="44"/>
      <c r="M152" s="44"/>
      <c r="N152" s="44"/>
      <c r="O152" s="46"/>
      <c r="P152" s="44"/>
      <c r="Q152" s="46"/>
      <c r="R152" s="44"/>
      <c r="S152" s="45"/>
      <c r="T152" s="44"/>
      <c r="U152" s="44"/>
      <c r="V152" s="47"/>
      <c r="W152" s="48" t="str">
        <f aca="false">IF(V152="","",IFERROR(V152/O152,""))</f>
        <v/>
      </c>
      <c r="X152" s="44"/>
      <c r="Y152" s="46"/>
      <c r="Z152" s="49"/>
      <c r="AA152" s="44"/>
      <c r="AB152" s="50" t="str">
        <f aca="false">IFERROR(INDEX(TABLA_IVA!$C$3:$C$6,MATCH(AA152,TABLA_IVA!$A$3:$A$6,0)),"")</f>
        <v/>
      </c>
      <c r="AC152" s="47"/>
      <c r="AD152" s="44"/>
      <c r="AE152" s="51"/>
      <c r="AF152" s="52" t="str">
        <f aca="false">IF(OR(AC152="",AE152="",AB152=""),"",IFERROR(AC152/(1-AE152)*(1+AB152),""))</f>
        <v/>
      </c>
      <c r="AG152" s="47"/>
      <c r="AH152" s="52" t="str">
        <f aca="false">IF(AD152="FIJO",IF(AG152="","",AG152),IF(AF152&lt;&gt;"",AF152,IF(AG152="","",AG152)))</f>
        <v/>
      </c>
      <c r="AI152" s="52" t="str">
        <f aca="false">IF(OR(AH152="",AB152=""),"",IFERROR(AH152/(1+AB152),""))</f>
        <v/>
      </c>
      <c r="AJ152" s="50" t="str">
        <f aca="false">IF(OR(AI152="",AC152=""),"",IFERROR((AI152-AC152)/AI152,""))</f>
        <v/>
      </c>
      <c r="AK152" s="53" t="str">
        <f aca="false">IF(OR(AJ152="",AE152=""),"",AJ152-AE152)</f>
        <v/>
      </c>
      <c r="AL152" s="54" t="str">
        <f aca="false">IF(OR(AH152="",AF152=""),"",AH152-AF152)</f>
        <v/>
      </c>
      <c r="AM152" s="55" t="str">
        <f aca="false">IF(OR(A152="",K152&lt;&gt;"SI"),"",IF(AE152="","Sin objetivo",IF(AJ152="","Faltan datos",IF(AJ152&lt;0,"PÉRDIDA",IF(AK152&lt;-UMB_CRITICO,"MUY POR DEBAJO",IF(AK152&lt;-UMB_BAJO,"POR DEBAJO",IF(AK152&lt;-UMB_AJUSTADO,"AJUSTADO",IF(AK152&lt;=UMB_ALTO,"EN OBJETIVO","POR ENCIMA"))))))))</f>
        <v/>
      </c>
      <c r="AN152" s="44"/>
      <c r="AO152" s="44"/>
      <c r="AP152" s="46"/>
      <c r="AQ152" s="46"/>
      <c r="AR152" s="46"/>
      <c r="AS152" s="44"/>
      <c r="AT152" s="44"/>
      <c r="AU152" s="44"/>
      <c r="AV152" s="44"/>
      <c r="AW152" s="44"/>
      <c r="AX152" s="45"/>
      <c r="AY152" s="44"/>
      <c r="AZ152" s="56"/>
      <c r="BA152" s="45"/>
    </row>
    <row r="153" customFormat="false" ht="15" hidden="false" customHeight="false" outlineLevel="0" collapsed="false">
      <c r="A153" s="44"/>
      <c r="B153" s="44"/>
      <c r="C153" s="45"/>
      <c r="D153" s="45"/>
      <c r="E153" s="44"/>
      <c r="F153" s="44"/>
      <c r="G153" s="44"/>
      <c r="H153" s="44"/>
      <c r="I153" s="44"/>
      <c r="J153" s="44"/>
      <c r="K153" s="44"/>
      <c r="L153" s="44"/>
      <c r="M153" s="44"/>
      <c r="N153" s="44"/>
      <c r="O153" s="46"/>
      <c r="P153" s="44"/>
      <c r="Q153" s="46"/>
      <c r="R153" s="44"/>
      <c r="S153" s="45"/>
      <c r="T153" s="44"/>
      <c r="U153" s="44"/>
      <c r="V153" s="47"/>
      <c r="W153" s="48" t="str">
        <f aca="false">IF(V153="","",IFERROR(V153/O153,""))</f>
        <v/>
      </c>
      <c r="X153" s="44"/>
      <c r="Y153" s="46"/>
      <c r="Z153" s="49"/>
      <c r="AA153" s="44"/>
      <c r="AB153" s="50" t="str">
        <f aca="false">IFERROR(INDEX(TABLA_IVA!$C$3:$C$6,MATCH(AA153,TABLA_IVA!$A$3:$A$6,0)),"")</f>
        <v/>
      </c>
      <c r="AC153" s="47"/>
      <c r="AD153" s="44"/>
      <c r="AE153" s="51"/>
      <c r="AF153" s="52" t="str">
        <f aca="false">IF(OR(AC153="",AE153="",AB153=""),"",IFERROR(AC153/(1-AE153)*(1+AB153),""))</f>
        <v/>
      </c>
      <c r="AG153" s="47"/>
      <c r="AH153" s="52" t="str">
        <f aca="false">IF(AD153="FIJO",IF(AG153="","",AG153),IF(AF153&lt;&gt;"",AF153,IF(AG153="","",AG153)))</f>
        <v/>
      </c>
      <c r="AI153" s="52" t="str">
        <f aca="false">IF(OR(AH153="",AB153=""),"",IFERROR(AH153/(1+AB153),""))</f>
        <v/>
      </c>
      <c r="AJ153" s="50" t="str">
        <f aca="false">IF(OR(AI153="",AC153=""),"",IFERROR((AI153-AC153)/AI153,""))</f>
        <v/>
      </c>
      <c r="AK153" s="53" t="str">
        <f aca="false">IF(OR(AJ153="",AE153=""),"",AJ153-AE153)</f>
        <v/>
      </c>
      <c r="AL153" s="54" t="str">
        <f aca="false">IF(OR(AH153="",AF153=""),"",AH153-AF153)</f>
        <v/>
      </c>
      <c r="AM153" s="55" t="str">
        <f aca="false">IF(OR(A153="",K153&lt;&gt;"SI"),"",IF(AE153="","Sin objetivo",IF(AJ153="","Faltan datos",IF(AJ153&lt;0,"PÉRDIDA",IF(AK153&lt;-UMB_CRITICO,"MUY POR DEBAJO",IF(AK153&lt;-UMB_BAJO,"POR DEBAJO",IF(AK153&lt;-UMB_AJUSTADO,"AJUSTADO",IF(AK153&lt;=UMB_ALTO,"EN OBJETIVO","POR ENCIMA"))))))))</f>
        <v/>
      </c>
      <c r="AN153" s="44"/>
      <c r="AO153" s="44"/>
      <c r="AP153" s="46"/>
      <c r="AQ153" s="46"/>
      <c r="AR153" s="46"/>
      <c r="AS153" s="44"/>
      <c r="AT153" s="44"/>
      <c r="AU153" s="44"/>
      <c r="AV153" s="44"/>
      <c r="AW153" s="44"/>
      <c r="AX153" s="45"/>
      <c r="AY153" s="44"/>
      <c r="AZ153" s="56"/>
      <c r="BA153" s="45"/>
    </row>
    <row r="154" customFormat="false" ht="15" hidden="false" customHeight="false" outlineLevel="0" collapsed="false">
      <c r="A154" s="44"/>
      <c r="B154" s="44"/>
      <c r="C154" s="45"/>
      <c r="D154" s="45"/>
      <c r="E154" s="44"/>
      <c r="F154" s="44"/>
      <c r="G154" s="44"/>
      <c r="H154" s="44"/>
      <c r="I154" s="44"/>
      <c r="J154" s="44"/>
      <c r="K154" s="44"/>
      <c r="L154" s="44"/>
      <c r="M154" s="44"/>
      <c r="N154" s="44"/>
      <c r="O154" s="46"/>
      <c r="P154" s="44"/>
      <c r="Q154" s="46"/>
      <c r="R154" s="44"/>
      <c r="S154" s="45"/>
      <c r="T154" s="44"/>
      <c r="U154" s="44"/>
      <c r="V154" s="47"/>
      <c r="W154" s="48" t="str">
        <f aca="false">IF(V154="","",IFERROR(V154/O154,""))</f>
        <v/>
      </c>
      <c r="X154" s="44"/>
      <c r="Y154" s="46"/>
      <c r="Z154" s="49"/>
      <c r="AA154" s="44"/>
      <c r="AB154" s="50" t="str">
        <f aca="false">IFERROR(INDEX(TABLA_IVA!$C$3:$C$6,MATCH(AA154,TABLA_IVA!$A$3:$A$6,0)),"")</f>
        <v/>
      </c>
      <c r="AC154" s="47"/>
      <c r="AD154" s="44"/>
      <c r="AE154" s="51"/>
      <c r="AF154" s="52" t="str">
        <f aca="false">IF(OR(AC154="",AE154="",AB154=""),"",IFERROR(AC154/(1-AE154)*(1+AB154),""))</f>
        <v/>
      </c>
      <c r="AG154" s="47"/>
      <c r="AH154" s="52" t="str">
        <f aca="false">IF(AD154="FIJO",IF(AG154="","",AG154),IF(AF154&lt;&gt;"",AF154,IF(AG154="","",AG154)))</f>
        <v/>
      </c>
      <c r="AI154" s="52" t="str">
        <f aca="false">IF(OR(AH154="",AB154=""),"",IFERROR(AH154/(1+AB154),""))</f>
        <v/>
      </c>
      <c r="AJ154" s="50" t="str">
        <f aca="false">IF(OR(AI154="",AC154=""),"",IFERROR((AI154-AC154)/AI154,""))</f>
        <v/>
      </c>
      <c r="AK154" s="53" t="str">
        <f aca="false">IF(OR(AJ154="",AE154=""),"",AJ154-AE154)</f>
        <v/>
      </c>
      <c r="AL154" s="54" t="str">
        <f aca="false">IF(OR(AH154="",AF154=""),"",AH154-AF154)</f>
        <v/>
      </c>
      <c r="AM154" s="55" t="str">
        <f aca="false">IF(OR(A154="",K154&lt;&gt;"SI"),"",IF(AE154="","Sin objetivo",IF(AJ154="","Faltan datos",IF(AJ154&lt;0,"PÉRDIDA",IF(AK154&lt;-UMB_CRITICO,"MUY POR DEBAJO",IF(AK154&lt;-UMB_BAJO,"POR DEBAJO",IF(AK154&lt;-UMB_AJUSTADO,"AJUSTADO",IF(AK154&lt;=UMB_ALTO,"EN OBJETIVO","POR ENCIMA"))))))))</f>
        <v/>
      </c>
      <c r="AN154" s="44"/>
      <c r="AO154" s="44"/>
      <c r="AP154" s="46"/>
      <c r="AQ154" s="46"/>
      <c r="AR154" s="46"/>
      <c r="AS154" s="44"/>
      <c r="AT154" s="44"/>
      <c r="AU154" s="44"/>
      <c r="AV154" s="44"/>
      <c r="AW154" s="44"/>
      <c r="AX154" s="45"/>
      <c r="AY154" s="44"/>
      <c r="AZ154" s="56"/>
      <c r="BA154" s="45"/>
    </row>
    <row r="155" customFormat="false" ht="15" hidden="false" customHeight="false" outlineLevel="0" collapsed="false">
      <c r="A155" s="44"/>
      <c r="B155" s="44"/>
      <c r="C155" s="45"/>
      <c r="D155" s="45"/>
      <c r="E155" s="44"/>
      <c r="F155" s="44"/>
      <c r="G155" s="44"/>
      <c r="H155" s="44"/>
      <c r="I155" s="44"/>
      <c r="J155" s="44"/>
      <c r="K155" s="44"/>
      <c r="L155" s="44"/>
      <c r="M155" s="44"/>
      <c r="N155" s="44"/>
      <c r="O155" s="46"/>
      <c r="P155" s="44"/>
      <c r="Q155" s="46"/>
      <c r="R155" s="44"/>
      <c r="S155" s="45"/>
      <c r="T155" s="44"/>
      <c r="U155" s="44"/>
      <c r="V155" s="47"/>
      <c r="W155" s="48" t="str">
        <f aca="false">IF(V155="","",IFERROR(V155/O155,""))</f>
        <v/>
      </c>
      <c r="X155" s="44"/>
      <c r="Y155" s="46"/>
      <c r="Z155" s="49"/>
      <c r="AA155" s="44"/>
      <c r="AB155" s="50" t="str">
        <f aca="false">IFERROR(INDEX(TABLA_IVA!$C$3:$C$6,MATCH(AA155,TABLA_IVA!$A$3:$A$6,0)),"")</f>
        <v/>
      </c>
      <c r="AC155" s="47"/>
      <c r="AD155" s="44"/>
      <c r="AE155" s="51"/>
      <c r="AF155" s="52" t="str">
        <f aca="false">IF(OR(AC155="",AE155="",AB155=""),"",IFERROR(AC155/(1-AE155)*(1+AB155),""))</f>
        <v/>
      </c>
      <c r="AG155" s="47"/>
      <c r="AH155" s="52" t="str">
        <f aca="false">IF(AD155="FIJO",IF(AG155="","",AG155),IF(AF155&lt;&gt;"",AF155,IF(AG155="","",AG155)))</f>
        <v/>
      </c>
      <c r="AI155" s="52" t="str">
        <f aca="false">IF(OR(AH155="",AB155=""),"",IFERROR(AH155/(1+AB155),""))</f>
        <v/>
      </c>
      <c r="AJ155" s="50" t="str">
        <f aca="false">IF(OR(AI155="",AC155=""),"",IFERROR((AI155-AC155)/AI155,""))</f>
        <v/>
      </c>
      <c r="AK155" s="53" t="str">
        <f aca="false">IF(OR(AJ155="",AE155=""),"",AJ155-AE155)</f>
        <v/>
      </c>
      <c r="AL155" s="54" t="str">
        <f aca="false">IF(OR(AH155="",AF155=""),"",AH155-AF155)</f>
        <v/>
      </c>
      <c r="AM155" s="55" t="str">
        <f aca="false">IF(OR(A155="",K155&lt;&gt;"SI"),"",IF(AE155="","Sin objetivo",IF(AJ155="","Faltan datos",IF(AJ155&lt;0,"PÉRDIDA",IF(AK155&lt;-UMB_CRITICO,"MUY POR DEBAJO",IF(AK155&lt;-UMB_BAJO,"POR DEBAJO",IF(AK155&lt;-UMB_AJUSTADO,"AJUSTADO",IF(AK155&lt;=UMB_ALTO,"EN OBJETIVO","POR ENCIMA"))))))))</f>
        <v/>
      </c>
      <c r="AN155" s="44"/>
      <c r="AO155" s="44"/>
      <c r="AP155" s="46"/>
      <c r="AQ155" s="46"/>
      <c r="AR155" s="46"/>
      <c r="AS155" s="44"/>
      <c r="AT155" s="44"/>
      <c r="AU155" s="44"/>
      <c r="AV155" s="44"/>
      <c r="AW155" s="44"/>
      <c r="AX155" s="45"/>
      <c r="AY155" s="44"/>
      <c r="AZ155" s="56"/>
      <c r="BA155" s="45"/>
    </row>
    <row r="156" customFormat="false" ht="15" hidden="false" customHeight="false" outlineLevel="0" collapsed="false">
      <c r="A156" s="44"/>
      <c r="B156" s="44"/>
      <c r="C156" s="45"/>
      <c r="D156" s="45"/>
      <c r="E156" s="44"/>
      <c r="F156" s="44"/>
      <c r="G156" s="44"/>
      <c r="H156" s="44"/>
      <c r="I156" s="44"/>
      <c r="J156" s="44"/>
      <c r="K156" s="44"/>
      <c r="L156" s="44"/>
      <c r="M156" s="44"/>
      <c r="N156" s="44"/>
      <c r="O156" s="46"/>
      <c r="P156" s="44"/>
      <c r="Q156" s="46"/>
      <c r="R156" s="44"/>
      <c r="S156" s="45"/>
      <c r="T156" s="44"/>
      <c r="U156" s="44"/>
      <c r="V156" s="47"/>
      <c r="W156" s="48" t="str">
        <f aca="false">IF(V156="","",IFERROR(V156/O156,""))</f>
        <v/>
      </c>
      <c r="X156" s="44"/>
      <c r="Y156" s="46"/>
      <c r="Z156" s="49"/>
      <c r="AA156" s="44"/>
      <c r="AB156" s="50" t="str">
        <f aca="false">IFERROR(INDEX(TABLA_IVA!$C$3:$C$6,MATCH(AA156,TABLA_IVA!$A$3:$A$6,0)),"")</f>
        <v/>
      </c>
      <c r="AC156" s="47"/>
      <c r="AD156" s="44"/>
      <c r="AE156" s="51"/>
      <c r="AF156" s="52" t="str">
        <f aca="false">IF(OR(AC156="",AE156="",AB156=""),"",IFERROR(AC156/(1-AE156)*(1+AB156),""))</f>
        <v/>
      </c>
      <c r="AG156" s="47"/>
      <c r="AH156" s="52" t="str">
        <f aca="false">IF(AD156="FIJO",IF(AG156="","",AG156),IF(AF156&lt;&gt;"",AF156,IF(AG156="","",AG156)))</f>
        <v/>
      </c>
      <c r="AI156" s="52" t="str">
        <f aca="false">IF(OR(AH156="",AB156=""),"",IFERROR(AH156/(1+AB156),""))</f>
        <v/>
      </c>
      <c r="AJ156" s="50" t="str">
        <f aca="false">IF(OR(AI156="",AC156=""),"",IFERROR((AI156-AC156)/AI156,""))</f>
        <v/>
      </c>
      <c r="AK156" s="53" t="str">
        <f aca="false">IF(OR(AJ156="",AE156=""),"",AJ156-AE156)</f>
        <v/>
      </c>
      <c r="AL156" s="54" t="str">
        <f aca="false">IF(OR(AH156="",AF156=""),"",AH156-AF156)</f>
        <v/>
      </c>
      <c r="AM156" s="55" t="str">
        <f aca="false">IF(OR(A156="",K156&lt;&gt;"SI"),"",IF(AE156="","Sin objetivo",IF(AJ156="","Faltan datos",IF(AJ156&lt;0,"PÉRDIDA",IF(AK156&lt;-UMB_CRITICO,"MUY POR DEBAJO",IF(AK156&lt;-UMB_BAJO,"POR DEBAJO",IF(AK156&lt;-UMB_AJUSTADO,"AJUSTADO",IF(AK156&lt;=UMB_ALTO,"EN OBJETIVO","POR ENCIMA"))))))))</f>
        <v/>
      </c>
      <c r="AN156" s="44"/>
      <c r="AO156" s="44"/>
      <c r="AP156" s="46"/>
      <c r="AQ156" s="46"/>
      <c r="AR156" s="46"/>
      <c r="AS156" s="44"/>
      <c r="AT156" s="44"/>
      <c r="AU156" s="44"/>
      <c r="AV156" s="44"/>
      <c r="AW156" s="44"/>
      <c r="AX156" s="45"/>
      <c r="AY156" s="44"/>
      <c r="AZ156" s="56"/>
      <c r="BA156" s="45"/>
    </row>
    <row r="157" customFormat="false" ht="15" hidden="false" customHeight="false" outlineLevel="0" collapsed="false">
      <c r="A157" s="44"/>
      <c r="B157" s="44"/>
      <c r="C157" s="45"/>
      <c r="D157" s="45"/>
      <c r="E157" s="44"/>
      <c r="F157" s="44"/>
      <c r="G157" s="44"/>
      <c r="H157" s="44"/>
      <c r="I157" s="44"/>
      <c r="J157" s="44"/>
      <c r="K157" s="44"/>
      <c r="L157" s="44"/>
      <c r="M157" s="44"/>
      <c r="N157" s="44"/>
      <c r="O157" s="46"/>
      <c r="P157" s="44"/>
      <c r="Q157" s="46"/>
      <c r="R157" s="44"/>
      <c r="S157" s="45"/>
      <c r="T157" s="44"/>
      <c r="U157" s="44"/>
      <c r="V157" s="47"/>
      <c r="W157" s="48" t="str">
        <f aca="false">IF(V157="","",IFERROR(V157/O157,""))</f>
        <v/>
      </c>
      <c r="X157" s="44"/>
      <c r="Y157" s="46"/>
      <c r="Z157" s="49"/>
      <c r="AA157" s="44"/>
      <c r="AB157" s="50" t="str">
        <f aca="false">IFERROR(INDEX(TABLA_IVA!$C$3:$C$6,MATCH(AA157,TABLA_IVA!$A$3:$A$6,0)),"")</f>
        <v/>
      </c>
      <c r="AC157" s="47"/>
      <c r="AD157" s="44"/>
      <c r="AE157" s="51"/>
      <c r="AF157" s="52" t="str">
        <f aca="false">IF(OR(AC157="",AE157="",AB157=""),"",IFERROR(AC157/(1-AE157)*(1+AB157),""))</f>
        <v/>
      </c>
      <c r="AG157" s="47"/>
      <c r="AH157" s="52" t="str">
        <f aca="false">IF(AD157="FIJO",IF(AG157="","",AG157),IF(AF157&lt;&gt;"",AF157,IF(AG157="","",AG157)))</f>
        <v/>
      </c>
      <c r="AI157" s="52" t="str">
        <f aca="false">IF(OR(AH157="",AB157=""),"",IFERROR(AH157/(1+AB157),""))</f>
        <v/>
      </c>
      <c r="AJ157" s="50" t="str">
        <f aca="false">IF(OR(AI157="",AC157=""),"",IFERROR((AI157-AC157)/AI157,""))</f>
        <v/>
      </c>
      <c r="AK157" s="53" t="str">
        <f aca="false">IF(OR(AJ157="",AE157=""),"",AJ157-AE157)</f>
        <v/>
      </c>
      <c r="AL157" s="54" t="str">
        <f aca="false">IF(OR(AH157="",AF157=""),"",AH157-AF157)</f>
        <v/>
      </c>
      <c r="AM157" s="55" t="str">
        <f aca="false">IF(OR(A157="",K157&lt;&gt;"SI"),"",IF(AE157="","Sin objetivo",IF(AJ157="","Faltan datos",IF(AJ157&lt;0,"PÉRDIDA",IF(AK157&lt;-UMB_CRITICO,"MUY POR DEBAJO",IF(AK157&lt;-UMB_BAJO,"POR DEBAJO",IF(AK157&lt;-UMB_AJUSTADO,"AJUSTADO",IF(AK157&lt;=UMB_ALTO,"EN OBJETIVO","POR ENCIMA"))))))))</f>
        <v/>
      </c>
      <c r="AN157" s="44"/>
      <c r="AO157" s="44"/>
      <c r="AP157" s="46"/>
      <c r="AQ157" s="46"/>
      <c r="AR157" s="46"/>
      <c r="AS157" s="44"/>
      <c r="AT157" s="44"/>
      <c r="AU157" s="44"/>
      <c r="AV157" s="44"/>
      <c r="AW157" s="44"/>
      <c r="AX157" s="45"/>
      <c r="AY157" s="44"/>
      <c r="AZ157" s="56"/>
      <c r="BA157" s="45"/>
    </row>
    <row r="158" customFormat="false" ht="15" hidden="false" customHeight="false" outlineLevel="0" collapsed="false">
      <c r="A158" s="44"/>
      <c r="B158" s="44"/>
      <c r="C158" s="45"/>
      <c r="D158" s="45"/>
      <c r="E158" s="44"/>
      <c r="F158" s="44"/>
      <c r="G158" s="44"/>
      <c r="H158" s="44"/>
      <c r="I158" s="44"/>
      <c r="J158" s="44"/>
      <c r="K158" s="44"/>
      <c r="L158" s="44"/>
      <c r="M158" s="44"/>
      <c r="N158" s="44"/>
      <c r="O158" s="46"/>
      <c r="P158" s="44"/>
      <c r="Q158" s="46"/>
      <c r="R158" s="44"/>
      <c r="S158" s="45"/>
      <c r="T158" s="44"/>
      <c r="U158" s="44"/>
      <c r="V158" s="47"/>
      <c r="W158" s="48" t="str">
        <f aca="false">IF(V158="","",IFERROR(V158/O158,""))</f>
        <v/>
      </c>
      <c r="X158" s="44"/>
      <c r="Y158" s="46"/>
      <c r="Z158" s="49"/>
      <c r="AA158" s="44"/>
      <c r="AB158" s="50" t="str">
        <f aca="false">IFERROR(INDEX(TABLA_IVA!$C$3:$C$6,MATCH(AA158,TABLA_IVA!$A$3:$A$6,0)),"")</f>
        <v/>
      </c>
      <c r="AC158" s="47"/>
      <c r="AD158" s="44"/>
      <c r="AE158" s="51"/>
      <c r="AF158" s="52" t="str">
        <f aca="false">IF(OR(AC158="",AE158="",AB158=""),"",IFERROR(AC158/(1-AE158)*(1+AB158),""))</f>
        <v/>
      </c>
      <c r="AG158" s="47"/>
      <c r="AH158" s="52" t="str">
        <f aca="false">IF(AD158="FIJO",IF(AG158="","",AG158),IF(AF158&lt;&gt;"",AF158,IF(AG158="","",AG158)))</f>
        <v/>
      </c>
      <c r="AI158" s="52" t="str">
        <f aca="false">IF(OR(AH158="",AB158=""),"",IFERROR(AH158/(1+AB158),""))</f>
        <v/>
      </c>
      <c r="AJ158" s="50" t="str">
        <f aca="false">IF(OR(AI158="",AC158=""),"",IFERROR((AI158-AC158)/AI158,""))</f>
        <v/>
      </c>
      <c r="AK158" s="53" t="str">
        <f aca="false">IF(OR(AJ158="",AE158=""),"",AJ158-AE158)</f>
        <v/>
      </c>
      <c r="AL158" s="54" t="str">
        <f aca="false">IF(OR(AH158="",AF158=""),"",AH158-AF158)</f>
        <v/>
      </c>
      <c r="AM158" s="55" t="str">
        <f aca="false">IF(OR(A158="",K158&lt;&gt;"SI"),"",IF(AE158="","Sin objetivo",IF(AJ158="","Faltan datos",IF(AJ158&lt;0,"PÉRDIDA",IF(AK158&lt;-UMB_CRITICO,"MUY POR DEBAJO",IF(AK158&lt;-UMB_BAJO,"POR DEBAJO",IF(AK158&lt;-UMB_AJUSTADO,"AJUSTADO",IF(AK158&lt;=UMB_ALTO,"EN OBJETIVO","POR ENCIMA"))))))))</f>
        <v/>
      </c>
      <c r="AN158" s="44"/>
      <c r="AO158" s="44"/>
      <c r="AP158" s="46"/>
      <c r="AQ158" s="46"/>
      <c r="AR158" s="46"/>
      <c r="AS158" s="44"/>
      <c r="AT158" s="44"/>
      <c r="AU158" s="44"/>
      <c r="AV158" s="44"/>
      <c r="AW158" s="44"/>
      <c r="AX158" s="45"/>
      <c r="AY158" s="44"/>
      <c r="AZ158" s="56"/>
      <c r="BA158" s="45"/>
    </row>
    <row r="159" customFormat="false" ht="15" hidden="false" customHeight="false" outlineLevel="0" collapsed="false">
      <c r="A159" s="44"/>
      <c r="B159" s="44"/>
      <c r="C159" s="45"/>
      <c r="D159" s="45"/>
      <c r="E159" s="44"/>
      <c r="F159" s="44"/>
      <c r="G159" s="44"/>
      <c r="H159" s="44"/>
      <c r="I159" s="44"/>
      <c r="J159" s="44"/>
      <c r="K159" s="44"/>
      <c r="L159" s="44"/>
      <c r="M159" s="44"/>
      <c r="N159" s="44"/>
      <c r="O159" s="46"/>
      <c r="P159" s="44"/>
      <c r="Q159" s="46"/>
      <c r="R159" s="44"/>
      <c r="S159" s="45"/>
      <c r="T159" s="44"/>
      <c r="U159" s="44"/>
      <c r="V159" s="47"/>
      <c r="W159" s="48" t="str">
        <f aca="false">IF(V159="","",IFERROR(V159/O159,""))</f>
        <v/>
      </c>
      <c r="X159" s="44"/>
      <c r="Y159" s="46"/>
      <c r="Z159" s="49"/>
      <c r="AA159" s="44"/>
      <c r="AB159" s="50" t="str">
        <f aca="false">IFERROR(INDEX(TABLA_IVA!$C$3:$C$6,MATCH(AA159,TABLA_IVA!$A$3:$A$6,0)),"")</f>
        <v/>
      </c>
      <c r="AC159" s="47"/>
      <c r="AD159" s="44"/>
      <c r="AE159" s="51"/>
      <c r="AF159" s="52" t="str">
        <f aca="false">IF(OR(AC159="",AE159="",AB159=""),"",IFERROR(AC159/(1-AE159)*(1+AB159),""))</f>
        <v/>
      </c>
      <c r="AG159" s="47"/>
      <c r="AH159" s="52" t="str">
        <f aca="false">IF(AD159="FIJO",IF(AG159="","",AG159),IF(AF159&lt;&gt;"",AF159,IF(AG159="","",AG159)))</f>
        <v/>
      </c>
      <c r="AI159" s="52" t="str">
        <f aca="false">IF(OR(AH159="",AB159=""),"",IFERROR(AH159/(1+AB159),""))</f>
        <v/>
      </c>
      <c r="AJ159" s="50" t="str">
        <f aca="false">IF(OR(AI159="",AC159=""),"",IFERROR((AI159-AC159)/AI159,""))</f>
        <v/>
      </c>
      <c r="AK159" s="53" t="str">
        <f aca="false">IF(OR(AJ159="",AE159=""),"",AJ159-AE159)</f>
        <v/>
      </c>
      <c r="AL159" s="54" t="str">
        <f aca="false">IF(OR(AH159="",AF159=""),"",AH159-AF159)</f>
        <v/>
      </c>
      <c r="AM159" s="55" t="str">
        <f aca="false">IF(OR(A159="",K159&lt;&gt;"SI"),"",IF(AE159="","Sin objetivo",IF(AJ159="","Faltan datos",IF(AJ159&lt;0,"PÉRDIDA",IF(AK159&lt;-UMB_CRITICO,"MUY POR DEBAJO",IF(AK159&lt;-UMB_BAJO,"POR DEBAJO",IF(AK159&lt;-UMB_AJUSTADO,"AJUSTADO",IF(AK159&lt;=UMB_ALTO,"EN OBJETIVO","POR ENCIMA"))))))))</f>
        <v/>
      </c>
      <c r="AN159" s="44"/>
      <c r="AO159" s="44"/>
      <c r="AP159" s="46"/>
      <c r="AQ159" s="46"/>
      <c r="AR159" s="46"/>
      <c r="AS159" s="44"/>
      <c r="AT159" s="44"/>
      <c r="AU159" s="44"/>
      <c r="AV159" s="44"/>
      <c r="AW159" s="44"/>
      <c r="AX159" s="45"/>
      <c r="AY159" s="44"/>
      <c r="AZ159" s="56"/>
      <c r="BA159" s="45"/>
    </row>
    <row r="160" customFormat="false" ht="15" hidden="false" customHeight="false" outlineLevel="0" collapsed="false">
      <c r="A160" s="44"/>
      <c r="B160" s="44"/>
      <c r="C160" s="45"/>
      <c r="D160" s="45"/>
      <c r="E160" s="44"/>
      <c r="F160" s="44"/>
      <c r="G160" s="44"/>
      <c r="H160" s="44"/>
      <c r="I160" s="44"/>
      <c r="J160" s="44"/>
      <c r="K160" s="44"/>
      <c r="L160" s="44"/>
      <c r="M160" s="44"/>
      <c r="N160" s="44"/>
      <c r="O160" s="46"/>
      <c r="P160" s="44"/>
      <c r="Q160" s="46"/>
      <c r="R160" s="44"/>
      <c r="S160" s="45"/>
      <c r="T160" s="44"/>
      <c r="U160" s="44"/>
      <c r="V160" s="47"/>
      <c r="W160" s="48" t="str">
        <f aca="false">IF(V160="","",IFERROR(V160/O160,""))</f>
        <v/>
      </c>
      <c r="X160" s="44"/>
      <c r="Y160" s="46"/>
      <c r="Z160" s="49"/>
      <c r="AA160" s="44"/>
      <c r="AB160" s="50" t="str">
        <f aca="false">IFERROR(INDEX(TABLA_IVA!$C$3:$C$6,MATCH(AA160,TABLA_IVA!$A$3:$A$6,0)),"")</f>
        <v/>
      </c>
      <c r="AC160" s="47"/>
      <c r="AD160" s="44"/>
      <c r="AE160" s="51"/>
      <c r="AF160" s="52" t="str">
        <f aca="false">IF(OR(AC160="",AE160="",AB160=""),"",IFERROR(AC160/(1-AE160)*(1+AB160),""))</f>
        <v/>
      </c>
      <c r="AG160" s="47"/>
      <c r="AH160" s="52" t="str">
        <f aca="false">IF(AD160="FIJO",IF(AG160="","",AG160),IF(AF160&lt;&gt;"",AF160,IF(AG160="","",AG160)))</f>
        <v/>
      </c>
      <c r="AI160" s="52" t="str">
        <f aca="false">IF(OR(AH160="",AB160=""),"",IFERROR(AH160/(1+AB160),""))</f>
        <v/>
      </c>
      <c r="AJ160" s="50" t="str">
        <f aca="false">IF(OR(AI160="",AC160=""),"",IFERROR((AI160-AC160)/AI160,""))</f>
        <v/>
      </c>
      <c r="AK160" s="53" t="str">
        <f aca="false">IF(OR(AJ160="",AE160=""),"",AJ160-AE160)</f>
        <v/>
      </c>
      <c r="AL160" s="54" t="str">
        <f aca="false">IF(OR(AH160="",AF160=""),"",AH160-AF160)</f>
        <v/>
      </c>
      <c r="AM160" s="55" t="str">
        <f aca="false">IF(OR(A160="",K160&lt;&gt;"SI"),"",IF(AE160="","Sin objetivo",IF(AJ160="","Faltan datos",IF(AJ160&lt;0,"PÉRDIDA",IF(AK160&lt;-UMB_CRITICO,"MUY POR DEBAJO",IF(AK160&lt;-UMB_BAJO,"POR DEBAJO",IF(AK160&lt;-UMB_AJUSTADO,"AJUSTADO",IF(AK160&lt;=UMB_ALTO,"EN OBJETIVO","POR ENCIMA"))))))))</f>
        <v/>
      </c>
      <c r="AN160" s="44"/>
      <c r="AO160" s="44"/>
      <c r="AP160" s="46"/>
      <c r="AQ160" s="46"/>
      <c r="AR160" s="46"/>
      <c r="AS160" s="44"/>
      <c r="AT160" s="44"/>
      <c r="AU160" s="44"/>
      <c r="AV160" s="44"/>
      <c r="AW160" s="44"/>
      <c r="AX160" s="45"/>
      <c r="AY160" s="44"/>
      <c r="AZ160" s="56"/>
      <c r="BA160" s="45"/>
    </row>
    <row r="161" customFormat="false" ht="15" hidden="false" customHeight="false" outlineLevel="0" collapsed="false">
      <c r="A161" s="44"/>
      <c r="B161" s="44"/>
      <c r="C161" s="45"/>
      <c r="D161" s="45"/>
      <c r="E161" s="44"/>
      <c r="F161" s="44"/>
      <c r="G161" s="44"/>
      <c r="H161" s="44"/>
      <c r="I161" s="44"/>
      <c r="J161" s="44"/>
      <c r="K161" s="44"/>
      <c r="L161" s="44"/>
      <c r="M161" s="44"/>
      <c r="N161" s="44"/>
      <c r="O161" s="46"/>
      <c r="P161" s="44"/>
      <c r="Q161" s="46"/>
      <c r="R161" s="44"/>
      <c r="S161" s="45"/>
      <c r="T161" s="44"/>
      <c r="U161" s="44"/>
      <c r="V161" s="47"/>
      <c r="W161" s="48" t="str">
        <f aca="false">IF(V161="","",IFERROR(V161/O161,""))</f>
        <v/>
      </c>
      <c r="X161" s="44"/>
      <c r="Y161" s="46"/>
      <c r="Z161" s="49"/>
      <c r="AA161" s="44"/>
      <c r="AB161" s="50" t="str">
        <f aca="false">IFERROR(INDEX(TABLA_IVA!$C$3:$C$6,MATCH(AA161,TABLA_IVA!$A$3:$A$6,0)),"")</f>
        <v/>
      </c>
      <c r="AC161" s="47"/>
      <c r="AD161" s="44"/>
      <c r="AE161" s="51"/>
      <c r="AF161" s="52" t="str">
        <f aca="false">IF(OR(AC161="",AE161="",AB161=""),"",IFERROR(AC161/(1-AE161)*(1+AB161),""))</f>
        <v/>
      </c>
      <c r="AG161" s="47"/>
      <c r="AH161" s="52" t="str">
        <f aca="false">IF(AD161="FIJO",IF(AG161="","",AG161),IF(AF161&lt;&gt;"",AF161,IF(AG161="","",AG161)))</f>
        <v/>
      </c>
      <c r="AI161" s="52" t="str">
        <f aca="false">IF(OR(AH161="",AB161=""),"",IFERROR(AH161/(1+AB161),""))</f>
        <v/>
      </c>
      <c r="AJ161" s="50" t="str">
        <f aca="false">IF(OR(AI161="",AC161=""),"",IFERROR((AI161-AC161)/AI161,""))</f>
        <v/>
      </c>
      <c r="AK161" s="53" t="str">
        <f aca="false">IF(OR(AJ161="",AE161=""),"",AJ161-AE161)</f>
        <v/>
      </c>
      <c r="AL161" s="54" t="str">
        <f aca="false">IF(OR(AH161="",AF161=""),"",AH161-AF161)</f>
        <v/>
      </c>
      <c r="AM161" s="55" t="str">
        <f aca="false">IF(OR(A161="",K161&lt;&gt;"SI"),"",IF(AE161="","Sin objetivo",IF(AJ161="","Faltan datos",IF(AJ161&lt;0,"PÉRDIDA",IF(AK161&lt;-UMB_CRITICO,"MUY POR DEBAJO",IF(AK161&lt;-UMB_BAJO,"POR DEBAJO",IF(AK161&lt;-UMB_AJUSTADO,"AJUSTADO",IF(AK161&lt;=UMB_ALTO,"EN OBJETIVO","POR ENCIMA"))))))))</f>
        <v/>
      </c>
      <c r="AN161" s="44"/>
      <c r="AO161" s="44"/>
      <c r="AP161" s="46"/>
      <c r="AQ161" s="46"/>
      <c r="AR161" s="46"/>
      <c r="AS161" s="44"/>
      <c r="AT161" s="44"/>
      <c r="AU161" s="44"/>
      <c r="AV161" s="44"/>
      <c r="AW161" s="44"/>
      <c r="AX161" s="45"/>
      <c r="AY161" s="44"/>
      <c r="AZ161" s="56"/>
      <c r="BA161" s="45"/>
    </row>
    <row r="162" customFormat="false" ht="15" hidden="false" customHeight="false" outlineLevel="0" collapsed="false">
      <c r="A162" s="44"/>
      <c r="B162" s="44"/>
      <c r="C162" s="45"/>
      <c r="D162" s="45"/>
      <c r="E162" s="44"/>
      <c r="F162" s="44"/>
      <c r="G162" s="44"/>
      <c r="H162" s="44"/>
      <c r="I162" s="44"/>
      <c r="J162" s="44"/>
      <c r="K162" s="44"/>
      <c r="L162" s="44"/>
      <c r="M162" s="44"/>
      <c r="N162" s="44"/>
      <c r="O162" s="46"/>
      <c r="P162" s="44"/>
      <c r="Q162" s="46"/>
      <c r="R162" s="44"/>
      <c r="S162" s="45"/>
      <c r="T162" s="44"/>
      <c r="U162" s="44"/>
      <c r="V162" s="47"/>
      <c r="W162" s="48" t="str">
        <f aca="false">IF(V162="","",IFERROR(V162/O162,""))</f>
        <v/>
      </c>
      <c r="X162" s="44"/>
      <c r="Y162" s="46"/>
      <c r="Z162" s="49"/>
      <c r="AA162" s="44"/>
      <c r="AB162" s="50" t="str">
        <f aca="false">IFERROR(INDEX(TABLA_IVA!$C$3:$C$6,MATCH(AA162,TABLA_IVA!$A$3:$A$6,0)),"")</f>
        <v/>
      </c>
      <c r="AC162" s="47"/>
      <c r="AD162" s="44"/>
      <c r="AE162" s="51"/>
      <c r="AF162" s="52" t="str">
        <f aca="false">IF(OR(AC162="",AE162="",AB162=""),"",IFERROR(AC162/(1-AE162)*(1+AB162),""))</f>
        <v/>
      </c>
      <c r="AG162" s="47"/>
      <c r="AH162" s="52" t="str">
        <f aca="false">IF(AD162="FIJO",IF(AG162="","",AG162),IF(AF162&lt;&gt;"",AF162,IF(AG162="","",AG162)))</f>
        <v/>
      </c>
      <c r="AI162" s="52" t="str">
        <f aca="false">IF(OR(AH162="",AB162=""),"",IFERROR(AH162/(1+AB162),""))</f>
        <v/>
      </c>
      <c r="AJ162" s="50" t="str">
        <f aca="false">IF(OR(AI162="",AC162=""),"",IFERROR((AI162-AC162)/AI162,""))</f>
        <v/>
      </c>
      <c r="AK162" s="53" t="str">
        <f aca="false">IF(OR(AJ162="",AE162=""),"",AJ162-AE162)</f>
        <v/>
      </c>
      <c r="AL162" s="54" t="str">
        <f aca="false">IF(OR(AH162="",AF162=""),"",AH162-AF162)</f>
        <v/>
      </c>
      <c r="AM162" s="55" t="str">
        <f aca="false">IF(OR(A162="",K162&lt;&gt;"SI"),"",IF(AE162="","Sin objetivo",IF(AJ162="","Faltan datos",IF(AJ162&lt;0,"PÉRDIDA",IF(AK162&lt;-UMB_CRITICO,"MUY POR DEBAJO",IF(AK162&lt;-UMB_BAJO,"POR DEBAJO",IF(AK162&lt;-UMB_AJUSTADO,"AJUSTADO",IF(AK162&lt;=UMB_ALTO,"EN OBJETIVO","POR ENCIMA"))))))))</f>
        <v/>
      </c>
      <c r="AN162" s="44"/>
      <c r="AO162" s="44"/>
      <c r="AP162" s="46"/>
      <c r="AQ162" s="46"/>
      <c r="AR162" s="46"/>
      <c r="AS162" s="44"/>
      <c r="AT162" s="44"/>
      <c r="AU162" s="44"/>
      <c r="AV162" s="44"/>
      <c r="AW162" s="44"/>
      <c r="AX162" s="45"/>
      <c r="AY162" s="44"/>
      <c r="AZ162" s="56"/>
      <c r="BA162" s="45"/>
    </row>
    <row r="163" customFormat="false" ht="15" hidden="false" customHeight="false" outlineLevel="0" collapsed="false">
      <c r="A163" s="44"/>
      <c r="B163" s="44"/>
      <c r="C163" s="45"/>
      <c r="D163" s="45"/>
      <c r="E163" s="44"/>
      <c r="F163" s="44"/>
      <c r="G163" s="44"/>
      <c r="H163" s="44"/>
      <c r="I163" s="44"/>
      <c r="J163" s="44"/>
      <c r="K163" s="44"/>
      <c r="L163" s="44"/>
      <c r="M163" s="44"/>
      <c r="N163" s="44"/>
      <c r="O163" s="46"/>
      <c r="P163" s="44"/>
      <c r="Q163" s="46"/>
      <c r="R163" s="44"/>
      <c r="S163" s="45"/>
      <c r="T163" s="44"/>
      <c r="U163" s="44"/>
      <c r="V163" s="47"/>
      <c r="W163" s="48" t="str">
        <f aca="false">IF(V163="","",IFERROR(V163/O163,""))</f>
        <v/>
      </c>
      <c r="X163" s="44"/>
      <c r="Y163" s="46"/>
      <c r="Z163" s="49"/>
      <c r="AA163" s="44"/>
      <c r="AB163" s="50" t="str">
        <f aca="false">IFERROR(INDEX(TABLA_IVA!$C$3:$C$6,MATCH(AA163,TABLA_IVA!$A$3:$A$6,0)),"")</f>
        <v/>
      </c>
      <c r="AC163" s="47"/>
      <c r="AD163" s="44"/>
      <c r="AE163" s="51"/>
      <c r="AF163" s="52" t="str">
        <f aca="false">IF(OR(AC163="",AE163="",AB163=""),"",IFERROR(AC163/(1-AE163)*(1+AB163),""))</f>
        <v/>
      </c>
      <c r="AG163" s="47"/>
      <c r="AH163" s="52" t="str">
        <f aca="false">IF(AD163="FIJO",IF(AG163="","",AG163),IF(AF163&lt;&gt;"",AF163,IF(AG163="","",AG163)))</f>
        <v/>
      </c>
      <c r="AI163" s="52" t="str">
        <f aca="false">IF(OR(AH163="",AB163=""),"",IFERROR(AH163/(1+AB163),""))</f>
        <v/>
      </c>
      <c r="AJ163" s="50" t="str">
        <f aca="false">IF(OR(AI163="",AC163=""),"",IFERROR((AI163-AC163)/AI163,""))</f>
        <v/>
      </c>
      <c r="AK163" s="53" t="str">
        <f aca="false">IF(OR(AJ163="",AE163=""),"",AJ163-AE163)</f>
        <v/>
      </c>
      <c r="AL163" s="54" t="str">
        <f aca="false">IF(OR(AH163="",AF163=""),"",AH163-AF163)</f>
        <v/>
      </c>
      <c r="AM163" s="55" t="str">
        <f aca="false">IF(OR(A163="",K163&lt;&gt;"SI"),"",IF(AE163="","Sin objetivo",IF(AJ163="","Faltan datos",IF(AJ163&lt;0,"PÉRDIDA",IF(AK163&lt;-UMB_CRITICO,"MUY POR DEBAJO",IF(AK163&lt;-UMB_BAJO,"POR DEBAJO",IF(AK163&lt;-UMB_AJUSTADO,"AJUSTADO",IF(AK163&lt;=UMB_ALTO,"EN OBJETIVO","POR ENCIMA"))))))))</f>
        <v/>
      </c>
      <c r="AN163" s="44"/>
      <c r="AO163" s="44"/>
      <c r="AP163" s="46"/>
      <c r="AQ163" s="46"/>
      <c r="AR163" s="46"/>
      <c r="AS163" s="44"/>
      <c r="AT163" s="44"/>
      <c r="AU163" s="44"/>
      <c r="AV163" s="44"/>
      <c r="AW163" s="44"/>
      <c r="AX163" s="45"/>
      <c r="AY163" s="44"/>
      <c r="AZ163" s="56"/>
      <c r="BA163" s="45"/>
    </row>
    <row r="164" customFormat="false" ht="15" hidden="false" customHeight="false" outlineLevel="0" collapsed="false">
      <c r="A164" s="44"/>
      <c r="B164" s="44"/>
      <c r="C164" s="45"/>
      <c r="D164" s="45"/>
      <c r="E164" s="44"/>
      <c r="F164" s="44"/>
      <c r="G164" s="44"/>
      <c r="H164" s="44"/>
      <c r="I164" s="44"/>
      <c r="J164" s="44"/>
      <c r="K164" s="44"/>
      <c r="L164" s="44"/>
      <c r="M164" s="44"/>
      <c r="N164" s="44"/>
      <c r="O164" s="46"/>
      <c r="P164" s="44"/>
      <c r="Q164" s="46"/>
      <c r="R164" s="44"/>
      <c r="S164" s="45"/>
      <c r="T164" s="44"/>
      <c r="U164" s="44"/>
      <c r="V164" s="47"/>
      <c r="W164" s="48" t="str">
        <f aca="false">IF(V164="","",IFERROR(V164/O164,""))</f>
        <v/>
      </c>
      <c r="X164" s="44"/>
      <c r="Y164" s="46"/>
      <c r="Z164" s="49"/>
      <c r="AA164" s="44"/>
      <c r="AB164" s="50" t="str">
        <f aca="false">IFERROR(INDEX(TABLA_IVA!$C$3:$C$6,MATCH(AA164,TABLA_IVA!$A$3:$A$6,0)),"")</f>
        <v/>
      </c>
      <c r="AC164" s="47"/>
      <c r="AD164" s="44"/>
      <c r="AE164" s="51"/>
      <c r="AF164" s="52" t="str">
        <f aca="false">IF(OR(AC164="",AE164="",AB164=""),"",IFERROR(AC164/(1-AE164)*(1+AB164),""))</f>
        <v/>
      </c>
      <c r="AG164" s="47"/>
      <c r="AH164" s="52" t="str">
        <f aca="false">IF(AD164="FIJO",IF(AG164="","",AG164),IF(AF164&lt;&gt;"",AF164,IF(AG164="","",AG164)))</f>
        <v/>
      </c>
      <c r="AI164" s="52" t="str">
        <f aca="false">IF(OR(AH164="",AB164=""),"",IFERROR(AH164/(1+AB164),""))</f>
        <v/>
      </c>
      <c r="AJ164" s="50" t="str">
        <f aca="false">IF(OR(AI164="",AC164=""),"",IFERROR((AI164-AC164)/AI164,""))</f>
        <v/>
      </c>
      <c r="AK164" s="53" t="str">
        <f aca="false">IF(OR(AJ164="",AE164=""),"",AJ164-AE164)</f>
        <v/>
      </c>
      <c r="AL164" s="54" t="str">
        <f aca="false">IF(OR(AH164="",AF164=""),"",AH164-AF164)</f>
        <v/>
      </c>
      <c r="AM164" s="55" t="str">
        <f aca="false">IF(OR(A164="",K164&lt;&gt;"SI"),"",IF(AE164="","Sin objetivo",IF(AJ164="","Faltan datos",IF(AJ164&lt;0,"PÉRDIDA",IF(AK164&lt;-UMB_CRITICO,"MUY POR DEBAJO",IF(AK164&lt;-UMB_BAJO,"POR DEBAJO",IF(AK164&lt;-UMB_AJUSTADO,"AJUSTADO",IF(AK164&lt;=UMB_ALTO,"EN OBJETIVO","POR ENCIMA"))))))))</f>
        <v/>
      </c>
      <c r="AN164" s="44"/>
      <c r="AO164" s="44"/>
      <c r="AP164" s="46"/>
      <c r="AQ164" s="46"/>
      <c r="AR164" s="46"/>
      <c r="AS164" s="44"/>
      <c r="AT164" s="44"/>
      <c r="AU164" s="44"/>
      <c r="AV164" s="44"/>
      <c r="AW164" s="44"/>
      <c r="AX164" s="45"/>
      <c r="AY164" s="44"/>
      <c r="AZ164" s="56"/>
      <c r="BA164" s="45"/>
    </row>
    <row r="165" customFormat="false" ht="15" hidden="false" customHeight="false" outlineLevel="0" collapsed="false">
      <c r="A165" s="44"/>
      <c r="B165" s="44"/>
      <c r="C165" s="45"/>
      <c r="D165" s="45"/>
      <c r="E165" s="44"/>
      <c r="F165" s="44"/>
      <c r="G165" s="44"/>
      <c r="H165" s="44"/>
      <c r="I165" s="44"/>
      <c r="J165" s="44"/>
      <c r="K165" s="44"/>
      <c r="L165" s="44"/>
      <c r="M165" s="44"/>
      <c r="N165" s="44"/>
      <c r="O165" s="46"/>
      <c r="P165" s="44"/>
      <c r="Q165" s="46"/>
      <c r="R165" s="44"/>
      <c r="S165" s="45"/>
      <c r="T165" s="44"/>
      <c r="U165" s="44"/>
      <c r="V165" s="47"/>
      <c r="W165" s="48" t="str">
        <f aca="false">IF(V165="","",IFERROR(V165/O165,""))</f>
        <v/>
      </c>
      <c r="X165" s="44"/>
      <c r="Y165" s="46"/>
      <c r="Z165" s="49"/>
      <c r="AA165" s="44"/>
      <c r="AB165" s="50" t="str">
        <f aca="false">IFERROR(INDEX(TABLA_IVA!$C$3:$C$6,MATCH(AA165,TABLA_IVA!$A$3:$A$6,0)),"")</f>
        <v/>
      </c>
      <c r="AC165" s="47"/>
      <c r="AD165" s="44"/>
      <c r="AE165" s="51"/>
      <c r="AF165" s="52" t="str">
        <f aca="false">IF(OR(AC165="",AE165="",AB165=""),"",IFERROR(AC165/(1-AE165)*(1+AB165),""))</f>
        <v/>
      </c>
      <c r="AG165" s="47"/>
      <c r="AH165" s="52" t="str">
        <f aca="false">IF(AD165="FIJO",IF(AG165="","",AG165),IF(AF165&lt;&gt;"",AF165,IF(AG165="","",AG165)))</f>
        <v/>
      </c>
      <c r="AI165" s="52" t="str">
        <f aca="false">IF(OR(AH165="",AB165=""),"",IFERROR(AH165/(1+AB165),""))</f>
        <v/>
      </c>
      <c r="AJ165" s="50" t="str">
        <f aca="false">IF(OR(AI165="",AC165=""),"",IFERROR((AI165-AC165)/AI165,""))</f>
        <v/>
      </c>
      <c r="AK165" s="53" t="str">
        <f aca="false">IF(OR(AJ165="",AE165=""),"",AJ165-AE165)</f>
        <v/>
      </c>
      <c r="AL165" s="54" t="str">
        <f aca="false">IF(OR(AH165="",AF165=""),"",AH165-AF165)</f>
        <v/>
      </c>
      <c r="AM165" s="55" t="str">
        <f aca="false">IF(OR(A165="",K165&lt;&gt;"SI"),"",IF(AE165="","Sin objetivo",IF(AJ165="","Faltan datos",IF(AJ165&lt;0,"PÉRDIDA",IF(AK165&lt;-UMB_CRITICO,"MUY POR DEBAJO",IF(AK165&lt;-UMB_BAJO,"POR DEBAJO",IF(AK165&lt;-UMB_AJUSTADO,"AJUSTADO",IF(AK165&lt;=UMB_ALTO,"EN OBJETIVO","POR ENCIMA"))))))))</f>
        <v/>
      </c>
      <c r="AN165" s="44"/>
      <c r="AO165" s="44"/>
      <c r="AP165" s="46"/>
      <c r="AQ165" s="46"/>
      <c r="AR165" s="46"/>
      <c r="AS165" s="44"/>
      <c r="AT165" s="44"/>
      <c r="AU165" s="44"/>
      <c r="AV165" s="44"/>
      <c r="AW165" s="44"/>
      <c r="AX165" s="45"/>
      <c r="AY165" s="44"/>
      <c r="AZ165" s="56"/>
      <c r="BA165" s="45"/>
    </row>
    <row r="166" customFormat="false" ht="15" hidden="false" customHeight="false" outlineLevel="0" collapsed="false">
      <c r="A166" s="44"/>
      <c r="B166" s="44"/>
      <c r="C166" s="45"/>
      <c r="D166" s="45"/>
      <c r="E166" s="44"/>
      <c r="F166" s="44"/>
      <c r="G166" s="44"/>
      <c r="H166" s="44"/>
      <c r="I166" s="44"/>
      <c r="J166" s="44"/>
      <c r="K166" s="44"/>
      <c r="L166" s="44"/>
      <c r="M166" s="44"/>
      <c r="N166" s="44"/>
      <c r="O166" s="46"/>
      <c r="P166" s="44"/>
      <c r="Q166" s="46"/>
      <c r="R166" s="44"/>
      <c r="S166" s="45"/>
      <c r="T166" s="44"/>
      <c r="U166" s="44"/>
      <c r="V166" s="47"/>
      <c r="W166" s="48" t="str">
        <f aca="false">IF(V166="","",IFERROR(V166/O166,""))</f>
        <v/>
      </c>
      <c r="X166" s="44"/>
      <c r="Y166" s="46"/>
      <c r="Z166" s="49"/>
      <c r="AA166" s="44"/>
      <c r="AB166" s="50" t="str">
        <f aca="false">IFERROR(INDEX(TABLA_IVA!$C$3:$C$6,MATCH(AA166,TABLA_IVA!$A$3:$A$6,0)),"")</f>
        <v/>
      </c>
      <c r="AC166" s="47"/>
      <c r="AD166" s="44"/>
      <c r="AE166" s="51"/>
      <c r="AF166" s="52" t="str">
        <f aca="false">IF(OR(AC166="",AE166="",AB166=""),"",IFERROR(AC166/(1-AE166)*(1+AB166),""))</f>
        <v/>
      </c>
      <c r="AG166" s="47"/>
      <c r="AH166" s="52" t="str">
        <f aca="false">IF(AD166="FIJO",IF(AG166="","",AG166),IF(AF166&lt;&gt;"",AF166,IF(AG166="","",AG166)))</f>
        <v/>
      </c>
      <c r="AI166" s="52" t="str">
        <f aca="false">IF(OR(AH166="",AB166=""),"",IFERROR(AH166/(1+AB166),""))</f>
        <v/>
      </c>
      <c r="AJ166" s="50" t="str">
        <f aca="false">IF(OR(AI166="",AC166=""),"",IFERROR((AI166-AC166)/AI166,""))</f>
        <v/>
      </c>
      <c r="AK166" s="53" t="str">
        <f aca="false">IF(OR(AJ166="",AE166=""),"",AJ166-AE166)</f>
        <v/>
      </c>
      <c r="AL166" s="54" t="str">
        <f aca="false">IF(OR(AH166="",AF166=""),"",AH166-AF166)</f>
        <v/>
      </c>
      <c r="AM166" s="55" t="str">
        <f aca="false">IF(OR(A166="",K166&lt;&gt;"SI"),"",IF(AE166="","Sin objetivo",IF(AJ166="","Faltan datos",IF(AJ166&lt;0,"PÉRDIDA",IF(AK166&lt;-UMB_CRITICO,"MUY POR DEBAJO",IF(AK166&lt;-UMB_BAJO,"POR DEBAJO",IF(AK166&lt;-UMB_AJUSTADO,"AJUSTADO",IF(AK166&lt;=UMB_ALTO,"EN OBJETIVO","POR ENCIMA"))))))))</f>
        <v/>
      </c>
      <c r="AN166" s="44"/>
      <c r="AO166" s="44"/>
      <c r="AP166" s="46"/>
      <c r="AQ166" s="46"/>
      <c r="AR166" s="46"/>
      <c r="AS166" s="44"/>
      <c r="AT166" s="44"/>
      <c r="AU166" s="44"/>
      <c r="AV166" s="44"/>
      <c r="AW166" s="44"/>
      <c r="AX166" s="45"/>
      <c r="AY166" s="44"/>
      <c r="AZ166" s="56"/>
      <c r="BA166" s="45"/>
    </row>
    <row r="167" customFormat="false" ht="15" hidden="false" customHeight="false" outlineLevel="0" collapsed="false">
      <c r="A167" s="44"/>
      <c r="B167" s="44"/>
      <c r="C167" s="45"/>
      <c r="D167" s="45"/>
      <c r="E167" s="44"/>
      <c r="F167" s="44"/>
      <c r="G167" s="44"/>
      <c r="H167" s="44"/>
      <c r="I167" s="44"/>
      <c r="J167" s="44"/>
      <c r="K167" s="44"/>
      <c r="L167" s="44"/>
      <c r="M167" s="44"/>
      <c r="N167" s="44"/>
      <c r="O167" s="46"/>
      <c r="P167" s="44"/>
      <c r="Q167" s="46"/>
      <c r="R167" s="44"/>
      <c r="S167" s="45"/>
      <c r="T167" s="44"/>
      <c r="U167" s="44"/>
      <c r="V167" s="47"/>
      <c r="W167" s="48" t="str">
        <f aca="false">IF(V167="","",IFERROR(V167/O167,""))</f>
        <v/>
      </c>
      <c r="X167" s="44"/>
      <c r="Y167" s="46"/>
      <c r="Z167" s="49"/>
      <c r="AA167" s="44"/>
      <c r="AB167" s="50" t="str">
        <f aca="false">IFERROR(INDEX(TABLA_IVA!$C$3:$C$6,MATCH(AA167,TABLA_IVA!$A$3:$A$6,0)),"")</f>
        <v/>
      </c>
      <c r="AC167" s="47"/>
      <c r="AD167" s="44"/>
      <c r="AE167" s="51"/>
      <c r="AF167" s="52" t="str">
        <f aca="false">IF(OR(AC167="",AE167="",AB167=""),"",IFERROR(AC167/(1-AE167)*(1+AB167),""))</f>
        <v/>
      </c>
      <c r="AG167" s="47"/>
      <c r="AH167" s="52" t="str">
        <f aca="false">IF(AD167="FIJO",IF(AG167="","",AG167),IF(AF167&lt;&gt;"",AF167,IF(AG167="","",AG167)))</f>
        <v/>
      </c>
      <c r="AI167" s="52" t="str">
        <f aca="false">IF(OR(AH167="",AB167=""),"",IFERROR(AH167/(1+AB167),""))</f>
        <v/>
      </c>
      <c r="AJ167" s="50" t="str">
        <f aca="false">IF(OR(AI167="",AC167=""),"",IFERROR((AI167-AC167)/AI167,""))</f>
        <v/>
      </c>
      <c r="AK167" s="53" t="str">
        <f aca="false">IF(OR(AJ167="",AE167=""),"",AJ167-AE167)</f>
        <v/>
      </c>
      <c r="AL167" s="54" t="str">
        <f aca="false">IF(OR(AH167="",AF167=""),"",AH167-AF167)</f>
        <v/>
      </c>
      <c r="AM167" s="55" t="str">
        <f aca="false">IF(OR(A167="",K167&lt;&gt;"SI"),"",IF(AE167="","Sin objetivo",IF(AJ167="","Faltan datos",IF(AJ167&lt;0,"PÉRDIDA",IF(AK167&lt;-UMB_CRITICO,"MUY POR DEBAJO",IF(AK167&lt;-UMB_BAJO,"POR DEBAJO",IF(AK167&lt;-UMB_AJUSTADO,"AJUSTADO",IF(AK167&lt;=UMB_ALTO,"EN OBJETIVO","POR ENCIMA"))))))))</f>
        <v/>
      </c>
      <c r="AN167" s="44"/>
      <c r="AO167" s="44"/>
      <c r="AP167" s="46"/>
      <c r="AQ167" s="46"/>
      <c r="AR167" s="46"/>
      <c r="AS167" s="44"/>
      <c r="AT167" s="44"/>
      <c r="AU167" s="44"/>
      <c r="AV167" s="44"/>
      <c r="AW167" s="44"/>
      <c r="AX167" s="45"/>
      <c r="AY167" s="44"/>
      <c r="AZ167" s="56"/>
      <c r="BA167" s="45"/>
    </row>
    <row r="168" customFormat="false" ht="15" hidden="false" customHeight="false" outlineLevel="0" collapsed="false">
      <c r="A168" s="44"/>
      <c r="B168" s="44"/>
      <c r="C168" s="45"/>
      <c r="D168" s="45"/>
      <c r="E168" s="44"/>
      <c r="F168" s="44"/>
      <c r="G168" s="44"/>
      <c r="H168" s="44"/>
      <c r="I168" s="44"/>
      <c r="J168" s="44"/>
      <c r="K168" s="44"/>
      <c r="L168" s="44"/>
      <c r="M168" s="44"/>
      <c r="N168" s="44"/>
      <c r="O168" s="46"/>
      <c r="P168" s="44"/>
      <c r="Q168" s="46"/>
      <c r="R168" s="44"/>
      <c r="S168" s="45"/>
      <c r="T168" s="44"/>
      <c r="U168" s="44"/>
      <c r="V168" s="47"/>
      <c r="W168" s="48" t="str">
        <f aca="false">IF(V168="","",IFERROR(V168/O168,""))</f>
        <v/>
      </c>
      <c r="X168" s="44"/>
      <c r="Y168" s="46"/>
      <c r="Z168" s="49"/>
      <c r="AA168" s="44"/>
      <c r="AB168" s="50" t="str">
        <f aca="false">IFERROR(INDEX(TABLA_IVA!$C$3:$C$6,MATCH(AA168,TABLA_IVA!$A$3:$A$6,0)),"")</f>
        <v/>
      </c>
      <c r="AC168" s="47"/>
      <c r="AD168" s="44"/>
      <c r="AE168" s="51"/>
      <c r="AF168" s="52" t="str">
        <f aca="false">IF(OR(AC168="",AE168="",AB168=""),"",IFERROR(AC168/(1-AE168)*(1+AB168),""))</f>
        <v/>
      </c>
      <c r="AG168" s="47"/>
      <c r="AH168" s="52" t="str">
        <f aca="false">IF(AD168="FIJO",IF(AG168="","",AG168),IF(AF168&lt;&gt;"",AF168,IF(AG168="","",AG168)))</f>
        <v/>
      </c>
      <c r="AI168" s="52" t="str">
        <f aca="false">IF(OR(AH168="",AB168=""),"",IFERROR(AH168/(1+AB168),""))</f>
        <v/>
      </c>
      <c r="AJ168" s="50" t="str">
        <f aca="false">IF(OR(AI168="",AC168=""),"",IFERROR((AI168-AC168)/AI168,""))</f>
        <v/>
      </c>
      <c r="AK168" s="53" t="str">
        <f aca="false">IF(OR(AJ168="",AE168=""),"",AJ168-AE168)</f>
        <v/>
      </c>
      <c r="AL168" s="54" t="str">
        <f aca="false">IF(OR(AH168="",AF168=""),"",AH168-AF168)</f>
        <v/>
      </c>
      <c r="AM168" s="55" t="str">
        <f aca="false">IF(OR(A168="",K168&lt;&gt;"SI"),"",IF(AE168="","Sin objetivo",IF(AJ168="","Faltan datos",IF(AJ168&lt;0,"PÉRDIDA",IF(AK168&lt;-UMB_CRITICO,"MUY POR DEBAJO",IF(AK168&lt;-UMB_BAJO,"POR DEBAJO",IF(AK168&lt;-UMB_AJUSTADO,"AJUSTADO",IF(AK168&lt;=UMB_ALTO,"EN OBJETIVO","POR ENCIMA"))))))))</f>
        <v/>
      </c>
      <c r="AN168" s="44"/>
      <c r="AO168" s="44"/>
      <c r="AP168" s="46"/>
      <c r="AQ168" s="46"/>
      <c r="AR168" s="46"/>
      <c r="AS168" s="44"/>
      <c r="AT168" s="44"/>
      <c r="AU168" s="44"/>
      <c r="AV168" s="44"/>
      <c r="AW168" s="44"/>
      <c r="AX168" s="45"/>
      <c r="AY168" s="44"/>
      <c r="AZ168" s="56"/>
      <c r="BA168" s="45"/>
    </row>
    <row r="169" customFormat="false" ht="15" hidden="false" customHeight="false" outlineLevel="0" collapsed="false">
      <c r="A169" s="44"/>
      <c r="B169" s="44"/>
      <c r="C169" s="45"/>
      <c r="D169" s="45"/>
      <c r="E169" s="44"/>
      <c r="F169" s="44"/>
      <c r="G169" s="44"/>
      <c r="H169" s="44"/>
      <c r="I169" s="44"/>
      <c r="J169" s="44"/>
      <c r="K169" s="44"/>
      <c r="L169" s="44"/>
      <c r="M169" s="44"/>
      <c r="N169" s="44"/>
      <c r="O169" s="46"/>
      <c r="P169" s="44"/>
      <c r="Q169" s="46"/>
      <c r="R169" s="44"/>
      <c r="S169" s="45"/>
      <c r="T169" s="44"/>
      <c r="U169" s="44"/>
      <c r="V169" s="47"/>
      <c r="W169" s="48" t="str">
        <f aca="false">IF(V169="","",IFERROR(V169/O169,""))</f>
        <v/>
      </c>
      <c r="X169" s="44"/>
      <c r="Y169" s="46"/>
      <c r="Z169" s="49"/>
      <c r="AA169" s="44"/>
      <c r="AB169" s="50" t="str">
        <f aca="false">IFERROR(INDEX(TABLA_IVA!$C$3:$C$6,MATCH(AA169,TABLA_IVA!$A$3:$A$6,0)),"")</f>
        <v/>
      </c>
      <c r="AC169" s="47"/>
      <c r="AD169" s="44"/>
      <c r="AE169" s="51"/>
      <c r="AF169" s="52" t="str">
        <f aca="false">IF(OR(AC169="",AE169="",AB169=""),"",IFERROR(AC169/(1-AE169)*(1+AB169),""))</f>
        <v/>
      </c>
      <c r="AG169" s="47"/>
      <c r="AH169" s="52" t="str">
        <f aca="false">IF(AD169="FIJO",IF(AG169="","",AG169),IF(AF169&lt;&gt;"",AF169,IF(AG169="","",AG169)))</f>
        <v/>
      </c>
      <c r="AI169" s="52" t="str">
        <f aca="false">IF(OR(AH169="",AB169=""),"",IFERROR(AH169/(1+AB169),""))</f>
        <v/>
      </c>
      <c r="AJ169" s="50" t="str">
        <f aca="false">IF(OR(AI169="",AC169=""),"",IFERROR((AI169-AC169)/AI169,""))</f>
        <v/>
      </c>
      <c r="AK169" s="53" t="str">
        <f aca="false">IF(OR(AJ169="",AE169=""),"",AJ169-AE169)</f>
        <v/>
      </c>
      <c r="AL169" s="54" t="str">
        <f aca="false">IF(OR(AH169="",AF169=""),"",AH169-AF169)</f>
        <v/>
      </c>
      <c r="AM169" s="55" t="str">
        <f aca="false">IF(OR(A169="",K169&lt;&gt;"SI"),"",IF(AE169="","Sin objetivo",IF(AJ169="","Faltan datos",IF(AJ169&lt;0,"PÉRDIDA",IF(AK169&lt;-UMB_CRITICO,"MUY POR DEBAJO",IF(AK169&lt;-UMB_BAJO,"POR DEBAJO",IF(AK169&lt;-UMB_AJUSTADO,"AJUSTADO",IF(AK169&lt;=UMB_ALTO,"EN OBJETIVO","POR ENCIMA"))))))))</f>
        <v/>
      </c>
      <c r="AN169" s="44"/>
      <c r="AO169" s="44"/>
      <c r="AP169" s="46"/>
      <c r="AQ169" s="46"/>
      <c r="AR169" s="46"/>
      <c r="AS169" s="44"/>
      <c r="AT169" s="44"/>
      <c r="AU169" s="44"/>
      <c r="AV169" s="44"/>
      <c r="AW169" s="44"/>
      <c r="AX169" s="45"/>
      <c r="AY169" s="44"/>
      <c r="AZ169" s="56"/>
      <c r="BA169" s="45"/>
    </row>
    <row r="170" customFormat="false" ht="15" hidden="false" customHeight="false" outlineLevel="0" collapsed="false">
      <c r="A170" s="44"/>
      <c r="B170" s="44"/>
      <c r="C170" s="45"/>
      <c r="D170" s="45"/>
      <c r="E170" s="44"/>
      <c r="F170" s="44"/>
      <c r="G170" s="44"/>
      <c r="H170" s="44"/>
      <c r="I170" s="44"/>
      <c r="J170" s="44"/>
      <c r="K170" s="44"/>
      <c r="L170" s="44"/>
      <c r="M170" s="44"/>
      <c r="N170" s="44"/>
      <c r="O170" s="46"/>
      <c r="P170" s="44"/>
      <c r="Q170" s="46"/>
      <c r="R170" s="44"/>
      <c r="S170" s="45"/>
      <c r="T170" s="44"/>
      <c r="U170" s="44"/>
      <c r="V170" s="47"/>
      <c r="W170" s="48" t="str">
        <f aca="false">IF(V170="","",IFERROR(V170/O170,""))</f>
        <v/>
      </c>
      <c r="X170" s="44"/>
      <c r="Y170" s="46"/>
      <c r="Z170" s="49"/>
      <c r="AA170" s="44"/>
      <c r="AB170" s="50" t="str">
        <f aca="false">IFERROR(INDEX(TABLA_IVA!$C$3:$C$6,MATCH(AA170,TABLA_IVA!$A$3:$A$6,0)),"")</f>
        <v/>
      </c>
      <c r="AC170" s="47"/>
      <c r="AD170" s="44"/>
      <c r="AE170" s="51"/>
      <c r="AF170" s="52" t="str">
        <f aca="false">IF(OR(AC170="",AE170="",AB170=""),"",IFERROR(AC170/(1-AE170)*(1+AB170),""))</f>
        <v/>
      </c>
      <c r="AG170" s="47"/>
      <c r="AH170" s="52" t="str">
        <f aca="false">IF(AD170="FIJO",IF(AG170="","",AG170),IF(AF170&lt;&gt;"",AF170,IF(AG170="","",AG170)))</f>
        <v/>
      </c>
      <c r="AI170" s="52" t="str">
        <f aca="false">IF(OR(AH170="",AB170=""),"",IFERROR(AH170/(1+AB170),""))</f>
        <v/>
      </c>
      <c r="AJ170" s="50" t="str">
        <f aca="false">IF(OR(AI170="",AC170=""),"",IFERROR((AI170-AC170)/AI170,""))</f>
        <v/>
      </c>
      <c r="AK170" s="53" t="str">
        <f aca="false">IF(OR(AJ170="",AE170=""),"",AJ170-AE170)</f>
        <v/>
      </c>
      <c r="AL170" s="54" t="str">
        <f aca="false">IF(OR(AH170="",AF170=""),"",AH170-AF170)</f>
        <v/>
      </c>
      <c r="AM170" s="55" t="str">
        <f aca="false">IF(OR(A170="",K170&lt;&gt;"SI"),"",IF(AE170="","Sin objetivo",IF(AJ170="","Faltan datos",IF(AJ170&lt;0,"PÉRDIDA",IF(AK170&lt;-UMB_CRITICO,"MUY POR DEBAJO",IF(AK170&lt;-UMB_BAJO,"POR DEBAJO",IF(AK170&lt;-UMB_AJUSTADO,"AJUSTADO",IF(AK170&lt;=UMB_ALTO,"EN OBJETIVO","POR ENCIMA"))))))))</f>
        <v/>
      </c>
      <c r="AN170" s="44"/>
      <c r="AO170" s="44"/>
      <c r="AP170" s="46"/>
      <c r="AQ170" s="46"/>
      <c r="AR170" s="46"/>
      <c r="AS170" s="44"/>
      <c r="AT170" s="44"/>
      <c r="AU170" s="44"/>
      <c r="AV170" s="44"/>
      <c r="AW170" s="44"/>
      <c r="AX170" s="45"/>
      <c r="AY170" s="44"/>
      <c r="AZ170" s="56"/>
      <c r="BA170" s="45"/>
    </row>
    <row r="171" customFormat="false" ht="15" hidden="false" customHeight="false" outlineLevel="0" collapsed="false">
      <c r="A171" s="44"/>
      <c r="B171" s="44"/>
      <c r="C171" s="45"/>
      <c r="D171" s="45"/>
      <c r="E171" s="44"/>
      <c r="F171" s="44"/>
      <c r="G171" s="44"/>
      <c r="H171" s="44"/>
      <c r="I171" s="44"/>
      <c r="J171" s="44"/>
      <c r="K171" s="44"/>
      <c r="L171" s="44"/>
      <c r="M171" s="44"/>
      <c r="N171" s="44"/>
      <c r="O171" s="46"/>
      <c r="P171" s="44"/>
      <c r="Q171" s="46"/>
      <c r="R171" s="44"/>
      <c r="S171" s="45"/>
      <c r="T171" s="44"/>
      <c r="U171" s="44"/>
      <c r="V171" s="47"/>
      <c r="W171" s="48" t="str">
        <f aca="false">IF(V171="","",IFERROR(V171/O171,""))</f>
        <v/>
      </c>
      <c r="X171" s="44"/>
      <c r="Y171" s="46"/>
      <c r="Z171" s="49"/>
      <c r="AA171" s="44"/>
      <c r="AB171" s="50" t="str">
        <f aca="false">IFERROR(INDEX(TABLA_IVA!$C$3:$C$6,MATCH(AA171,TABLA_IVA!$A$3:$A$6,0)),"")</f>
        <v/>
      </c>
      <c r="AC171" s="47"/>
      <c r="AD171" s="44"/>
      <c r="AE171" s="51"/>
      <c r="AF171" s="52" t="str">
        <f aca="false">IF(OR(AC171="",AE171="",AB171=""),"",IFERROR(AC171/(1-AE171)*(1+AB171),""))</f>
        <v/>
      </c>
      <c r="AG171" s="47"/>
      <c r="AH171" s="52" t="str">
        <f aca="false">IF(AD171="FIJO",IF(AG171="","",AG171),IF(AF171&lt;&gt;"",AF171,IF(AG171="","",AG171)))</f>
        <v/>
      </c>
      <c r="AI171" s="52" t="str">
        <f aca="false">IF(OR(AH171="",AB171=""),"",IFERROR(AH171/(1+AB171),""))</f>
        <v/>
      </c>
      <c r="AJ171" s="50" t="str">
        <f aca="false">IF(OR(AI171="",AC171=""),"",IFERROR((AI171-AC171)/AI171,""))</f>
        <v/>
      </c>
      <c r="AK171" s="53" t="str">
        <f aca="false">IF(OR(AJ171="",AE171=""),"",AJ171-AE171)</f>
        <v/>
      </c>
      <c r="AL171" s="54" t="str">
        <f aca="false">IF(OR(AH171="",AF171=""),"",AH171-AF171)</f>
        <v/>
      </c>
      <c r="AM171" s="55" t="str">
        <f aca="false">IF(OR(A171="",K171&lt;&gt;"SI"),"",IF(AE171="","Sin objetivo",IF(AJ171="","Faltan datos",IF(AJ171&lt;0,"PÉRDIDA",IF(AK171&lt;-UMB_CRITICO,"MUY POR DEBAJO",IF(AK171&lt;-UMB_BAJO,"POR DEBAJO",IF(AK171&lt;-UMB_AJUSTADO,"AJUSTADO",IF(AK171&lt;=UMB_ALTO,"EN OBJETIVO","POR ENCIMA"))))))))</f>
        <v/>
      </c>
      <c r="AN171" s="44"/>
      <c r="AO171" s="44"/>
      <c r="AP171" s="46"/>
      <c r="AQ171" s="46"/>
      <c r="AR171" s="46"/>
      <c r="AS171" s="44"/>
      <c r="AT171" s="44"/>
      <c r="AU171" s="44"/>
      <c r="AV171" s="44"/>
      <c r="AW171" s="44"/>
      <c r="AX171" s="45"/>
      <c r="AY171" s="44"/>
      <c r="AZ171" s="56"/>
      <c r="BA171" s="45"/>
    </row>
    <row r="172" customFormat="false" ht="15" hidden="false" customHeight="false" outlineLevel="0" collapsed="false">
      <c r="A172" s="44"/>
      <c r="B172" s="44"/>
      <c r="C172" s="45"/>
      <c r="D172" s="45"/>
      <c r="E172" s="44"/>
      <c r="F172" s="44"/>
      <c r="G172" s="44"/>
      <c r="H172" s="44"/>
      <c r="I172" s="44"/>
      <c r="J172" s="44"/>
      <c r="K172" s="44"/>
      <c r="L172" s="44"/>
      <c r="M172" s="44"/>
      <c r="N172" s="44"/>
      <c r="O172" s="46"/>
      <c r="P172" s="44"/>
      <c r="Q172" s="46"/>
      <c r="R172" s="44"/>
      <c r="S172" s="45"/>
      <c r="T172" s="44"/>
      <c r="U172" s="44"/>
      <c r="V172" s="47"/>
      <c r="W172" s="48" t="str">
        <f aca="false">IF(V172="","",IFERROR(V172/O172,""))</f>
        <v/>
      </c>
      <c r="X172" s="44"/>
      <c r="Y172" s="46"/>
      <c r="Z172" s="49"/>
      <c r="AA172" s="44"/>
      <c r="AB172" s="50" t="str">
        <f aca="false">IFERROR(INDEX(TABLA_IVA!$C$3:$C$6,MATCH(AA172,TABLA_IVA!$A$3:$A$6,0)),"")</f>
        <v/>
      </c>
      <c r="AC172" s="47"/>
      <c r="AD172" s="44"/>
      <c r="AE172" s="51"/>
      <c r="AF172" s="52" t="str">
        <f aca="false">IF(OR(AC172="",AE172="",AB172=""),"",IFERROR(AC172/(1-AE172)*(1+AB172),""))</f>
        <v/>
      </c>
      <c r="AG172" s="47"/>
      <c r="AH172" s="52" t="str">
        <f aca="false">IF(AD172="FIJO",IF(AG172="","",AG172),IF(AF172&lt;&gt;"",AF172,IF(AG172="","",AG172)))</f>
        <v/>
      </c>
      <c r="AI172" s="52" t="str">
        <f aca="false">IF(OR(AH172="",AB172=""),"",IFERROR(AH172/(1+AB172),""))</f>
        <v/>
      </c>
      <c r="AJ172" s="50" t="str">
        <f aca="false">IF(OR(AI172="",AC172=""),"",IFERROR((AI172-AC172)/AI172,""))</f>
        <v/>
      </c>
      <c r="AK172" s="53" t="str">
        <f aca="false">IF(OR(AJ172="",AE172=""),"",AJ172-AE172)</f>
        <v/>
      </c>
      <c r="AL172" s="54" t="str">
        <f aca="false">IF(OR(AH172="",AF172=""),"",AH172-AF172)</f>
        <v/>
      </c>
      <c r="AM172" s="55" t="str">
        <f aca="false">IF(OR(A172="",K172&lt;&gt;"SI"),"",IF(AE172="","Sin objetivo",IF(AJ172="","Faltan datos",IF(AJ172&lt;0,"PÉRDIDA",IF(AK172&lt;-UMB_CRITICO,"MUY POR DEBAJO",IF(AK172&lt;-UMB_BAJO,"POR DEBAJO",IF(AK172&lt;-UMB_AJUSTADO,"AJUSTADO",IF(AK172&lt;=UMB_ALTO,"EN OBJETIVO","POR ENCIMA"))))))))</f>
        <v/>
      </c>
      <c r="AN172" s="44"/>
      <c r="AO172" s="44"/>
      <c r="AP172" s="46"/>
      <c r="AQ172" s="46"/>
      <c r="AR172" s="46"/>
      <c r="AS172" s="44"/>
      <c r="AT172" s="44"/>
      <c r="AU172" s="44"/>
      <c r="AV172" s="44"/>
      <c r="AW172" s="44"/>
      <c r="AX172" s="45"/>
      <c r="AY172" s="44"/>
      <c r="AZ172" s="56"/>
      <c r="BA172" s="45"/>
    </row>
    <row r="173" customFormat="false" ht="15" hidden="false" customHeight="false" outlineLevel="0" collapsed="false">
      <c r="A173" s="44"/>
      <c r="B173" s="44"/>
      <c r="C173" s="45"/>
      <c r="D173" s="45"/>
      <c r="E173" s="44"/>
      <c r="F173" s="44"/>
      <c r="G173" s="44"/>
      <c r="H173" s="44"/>
      <c r="I173" s="44"/>
      <c r="J173" s="44"/>
      <c r="K173" s="44"/>
      <c r="L173" s="44"/>
      <c r="M173" s="44"/>
      <c r="N173" s="44"/>
      <c r="O173" s="46"/>
      <c r="P173" s="44"/>
      <c r="Q173" s="46"/>
      <c r="R173" s="44"/>
      <c r="S173" s="45"/>
      <c r="T173" s="44"/>
      <c r="U173" s="44"/>
      <c r="V173" s="47"/>
      <c r="W173" s="48" t="str">
        <f aca="false">IF(V173="","",IFERROR(V173/O173,""))</f>
        <v/>
      </c>
      <c r="X173" s="44"/>
      <c r="Y173" s="46"/>
      <c r="Z173" s="49"/>
      <c r="AA173" s="44"/>
      <c r="AB173" s="50" t="str">
        <f aca="false">IFERROR(INDEX(TABLA_IVA!$C$3:$C$6,MATCH(AA173,TABLA_IVA!$A$3:$A$6,0)),"")</f>
        <v/>
      </c>
      <c r="AC173" s="47"/>
      <c r="AD173" s="44"/>
      <c r="AE173" s="51"/>
      <c r="AF173" s="52" t="str">
        <f aca="false">IF(OR(AC173="",AE173="",AB173=""),"",IFERROR(AC173/(1-AE173)*(1+AB173),""))</f>
        <v/>
      </c>
      <c r="AG173" s="47"/>
      <c r="AH173" s="52" t="str">
        <f aca="false">IF(AD173="FIJO",IF(AG173="","",AG173),IF(AF173&lt;&gt;"",AF173,IF(AG173="","",AG173)))</f>
        <v/>
      </c>
      <c r="AI173" s="52" t="str">
        <f aca="false">IF(OR(AH173="",AB173=""),"",IFERROR(AH173/(1+AB173),""))</f>
        <v/>
      </c>
      <c r="AJ173" s="50" t="str">
        <f aca="false">IF(OR(AI173="",AC173=""),"",IFERROR((AI173-AC173)/AI173,""))</f>
        <v/>
      </c>
      <c r="AK173" s="53" t="str">
        <f aca="false">IF(OR(AJ173="",AE173=""),"",AJ173-AE173)</f>
        <v/>
      </c>
      <c r="AL173" s="54" t="str">
        <f aca="false">IF(OR(AH173="",AF173=""),"",AH173-AF173)</f>
        <v/>
      </c>
      <c r="AM173" s="55" t="str">
        <f aca="false">IF(OR(A173="",K173&lt;&gt;"SI"),"",IF(AE173="","Sin objetivo",IF(AJ173="","Faltan datos",IF(AJ173&lt;0,"PÉRDIDA",IF(AK173&lt;-UMB_CRITICO,"MUY POR DEBAJO",IF(AK173&lt;-UMB_BAJO,"POR DEBAJO",IF(AK173&lt;-UMB_AJUSTADO,"AJUSTADO",IF(AK173&lt;=UMB_ALTO,"EN OBJETIVO","POR ENCIMA"))))))))</f>
        <v/>
      </c>
      <c r="AN173" s="44"/>
      <c r="AO173" s="44"/>
      <c r="AP173" s="46"/>
      <c r="AQ173" s="46"/>
      <c r="AR173" s="46"/>
      <c r="AS173" s="44"/>
      <c r="AT173" s="44"/>
      <c r="AU173" s="44"/>
      <c r="AV173" s="44"/>
      <c r="AW173" s="44"/>
      <c r="AX173" s="45"/>
      <c r="AY173" s="44"/>
      <c r="AZ173" s="56"/>
      <c r="BA173" s="45"/>
    </row>
    <row r="174" customFormat="false" ht="15" hidden="false" customHeight="false" outlineLevel="0" collapsed="false">
      <c r="A174" s="44"/>
      <c r="B174" s="44"/>
      <c r="C174" s="45"/>
      <c r="D174" s="45"/>
      <c r="E174" s="44"/>
      <c r="F174" s="44"/>
      <c r="G174" s="44"/>
      <c r="H174" s="44"/>
      <c r="I174" s="44"/>
      <c r="J174" s="44"/>
      <c r="K174" s="44"/>
      <c r="L174" s="44"/>
      <c r="M174" s="44"/>
      <c r="N174" s="44"/>
      <c r="O174" s="46"/>
      <c r="P174" s="44"/>
      <c r="Q174" s="46"/>
      <c r="R174" s="44"/>
      <c r="S174" s="45"/>
      <c r="T174" s="44"/>
      <c r="U174" s="44"/>
      <c r="V174" s="47"/>
      <c r="W174" s="48" t="str">
        <f aca="false">IF(V174="","",IFERROR(V174/O174,""))</f>
        <v/>
      </c>
      <c r="X174" s="44"/>
      <c r="Y174" s="46"/>
      <c r="Z174" s="49"/>
      <c r="AA174" s="44"/>
      <c r="AB174" s="50" t="str">
        <f aca="false">IFERROR(INDEX(TABLA_IVA!$C$3:$C$6,MATCH(AA174,TABLA_IVA!$A$3:$A$6,0)),"")</f>
        <v/>
      </c>
      <c r="AC174" s="47"/>
      <c r="AD174" s="44"/>
      <c r="AE174" s="51"/>
      <c r="AF174" s="52" t="str">
        <f aca="false">IF(OR(AC174="",AE174="",AB174=""),"",IFERROR(AC174/(1-AE174)*(1+AB174),""))</f>
        <v/>
      </c>
      <c r="AG174" s="47"/>
      <c r="AH174" s="52" t="str">
        <f aca="false">IF(AD174="FIJO",IF(AG174="","",AG174),IF(AF174&lt;&gt;"",AF174,IF(AG174="","",AG174)))</f>
        <v/>
      </c>
      <c r="AI174" s="52" t="str">
        <f aca="false">IF(OR(AH174="",AB174=""),"",IFERROR(AH174/(1+AB174),""))</f>
        <v/>
      </c>
      <c r="AJ174" s="50" t="str">
        <f aca="false">IF(OR(AI174="",AC174=""),"",IFERROR((AI174-AC174)/AI174,""))</f>
        <v/>
      </c>
      <c r="AK174" s="53" t="str">
        <f aca="false">IF(OR(AJ174="",AE174=""),"",AJ174-AE174)</f>
        <v/>
      </c>
      <c r="AL174" s="54" t="str">
        <f aca="false">IF(OR(AH174="",AF174=""),"",AH174-AF174)</f>
        <v/>
      </c>
      <c r="AM174" s="55" t="str">
        <f aca="false">IF(OR(A174="",K174&lt;&gt;"SI"),"",IF(AE174="","Sin objetivo",IF(AJ174="","Faltan datos",IF(AJ174&lt;0,"PÉRDIDA",IF(AK174&lt;-UMB_CRITICO,"MUY POR DEBAJO",IF(AK174&lt;-UMB_BAJO,"POR DEBAJO",IF(AK174&lt;-UMB_AJUSTADO,"AJUSTADO",IF(AK174&lt;=UMB_ALTO,"EN OBJETIVO","POR ENCIMA"))))))))</f>
        <v/>
      </c>
      <c r="AN174" s="44"/>
      <c r="AO174" s="44"/>
      <c r="AP174" s="46"/>
      <c r="AQ174" s="46"/>
      <c r="AR174" s="46"/>
      <c r="AS174" s="44"/>
      <c r="AT174" s="44"/>
      <c r="AU174" s="44"/>
      <c r="AV174" s="44"/>
      <c r="AW174" s="44"/>
      <c r="AX174" s="45"/>
      <c r="AY174" s="44"/>
      <c r="AZ174" s="56"/>
      <c r="BA174" s="45"/>
    </row>
    <row r="175" customFormat="false" ht="15" hidden="false" customHeight="false" outlineLevel="0" collapsed="false">
      <c r="A175" s="44"/>
      <c r="B175" s="44"/>
      <c r="C175" s="45"/>
      <c r="D175" s="45"/>
      <c r="E175" s="44"/>
      <c r="F175" s="44"/>
      <c r="G175" s="44"/>
      <c r="H175" s="44"/>
      <c r="I175" s="44"/>
      <c r="J175" s="44"/>
      <c r="K175" s="44"/>
      <c r="L175" s="44"/>
      <c r="M175" s="44"/>
      <c r="N175" s="44"/>
      <c r="O175" s="46"/>
      <c r="P175" s="44"/>
      <c r="Q175" s="46"/>
      <c r="R175" s="44"/>
      <c r="S175" s="45"/>
      <c r="T175" s="44"/>
      <c r="U175" s="44"/>
      <c r="V175" s="47"/>
      <c r="W175" s="48" t="str">
        <f aca="false">IF(V175="","",IFERROR(V175/O175,""))</f>
        <v/>
      </c>
      <c r="X175" s="44"/>
      <c r="Y175" s="46"/>
      <c r="Z175" s="49"/>
      <c r="AA175" s="44"/>
      <c r="AB175" s="50" t="str">
        <f aca="false">IFERROR(INDEX(TABLA_IVA!$C$3:$C$6,MATCH(AA175,TABLA_IVA!$A$3:$A$6,0)),"")</f>
        <v/>
      </c>
      <c r="AC175" s="47"/>
      <c r="AD175" s="44"/>
      <c r="AE175" s="51"/>
      <c r="AF175" s="52" t="str">
        <f aca="false">IF(OR(AC175="",AE175="",AB175=""),"",IFERROR(AC175/(1-AE175)*(1+AB175),""))</f>
        <v/>
      </c>
      <c r="AG175" s="47"/>
      <c r="AH175" s="52" t="str">
        <f aca="false">IF(AD175="FIJO",IF(AG175="","",AG175),IF(AF175&lt;&gt;"",AF175,IF(AG175="","",AG175)))</f>
        <v/>
      </c>
      <c r="AI175" s="52" t="str">
        <f aca="false">IF(OR(AH175="",AB175=""),"",IFERROR(AH175/(1+AB175),""))</f>
        <v/>
      </c>
      <c r="AJ175" s="50" t="str">
        <f aca="false">IF(OR(AI175="",AC175=""),"",IFERROR((AI175-AC175)/AI175,""))</f>
        <v/>
      </c>
      <c r="AK175" s="53" t="str">
        <f aca="false">IF(OR(AJ175="",AE175=""),"",AJ175-AE175)</f>
        <v/>
      </c>
      <c r="AL175" s="54" t="str">
        <f aca="false">IF(OR(AH175="",AF175=""),"",AH175-AF175)</f>
        <v/>
      </c>
      <c r="AM175" s="55" t="str">
        <f aca="false">IF(OR(A175="",K175&lt;&gt;"SI"),"",IF(AE175="","Sin objetivo",IF(AJ175="","Faltan datos",IF(AJ175&lt;0,"PÉRDIDA",IF(AK175&lt;-UMB_CRITICO,"MUY POR DEBAJO",IF(AK175&lt;-UMB_BAJO,"POR DEBAJO",IF(AK175&lt;-UMB_AJUSTADO,"AJUSTADO",IF(AK175&lt;=UMB_ALTO,"EN OBJETIVO","POR ENCIMA"))))))))</f>
        <v/>
      </c>
      <c r="AN175" s="44"/>
      <c r="AO175" s="44"/>
      <c r="AP175" s="46"/>
      <c r="AQ175" s="46"/>
      <c r="AR175" s="46"/>
      <c r="AS175" s="44"/>
      <c r="AT175" s="44"/>
      <c r="AU175" s="44"/>
      <c r="AV175" s="44"/>
      <c r="AW175" s="44"/>
      <c r="AX175" s="45"/>
      <c r="AY175" s="44"/>
      <c r="AZ175" s="56"/>
      <c r="BA175" s="45"/>
    </row>
    <row r="176" customFormat="false" ht="15" hidden="false" customHeight="false" outlineLevel="0" collapsed="false">
      <c r="A176" s="44"/>
      <c r="B176" s="44"/>
      <c r="C176" s="45"/>
      <c r="D176" s="45"/>
      <c r="E176" s="44"/>
      <c r="F176" s="44"/>
      <c r="G176" s="44"/>
      <c r="H176" s="44"/>
      <c r="I176" s="44"/>
      <c r="J176" s="44"/>
      <c r="K176" s="44"/>
      <c r="L176" s="44"/>
      <c r="M176" s="44"/>
      <c r="N176" s="44"/>
      <c r="O176" s="46"/>
      <c r="P176" s="44"/>
      <c r="Q176" s="46"/>
      <c r="R176" s="44"/>
      <c r="S176" s="45"/>
      <c r="T176" s="44"/>
      <c r="U176" s="44"/>
      <c r="V176" s="47"/>
      <c r="W176" s="48" t="str">
        <f aca="false">IF(V176="","",IFERROR(V176/O176,""))</f>
        <v/>
      </c>
      <c r="X176" s="44"/>
      <c r="Y176" s="46"/>
      <c r="Z176" s="49"/>
      <c r="AA176" s="44"/>
      <c r="AB176" s="50" t="str">
        <f aca="false">IFERROR(INDEX(TABLA_IVA!$C$3:$C$6,MATCH(AA176,TABLA_IVA!$A$3:$A$6,0)),"")</f>
        <v/>
      </c>
      <c r="AC176" s="47"/>
      <c r="AD176" s="44"/>
      <c r="AE176" s="51"/>
      <c r="AF176" s="52" t="str">
        <f aca="false">IF(OR(AC176="",AE176="",AB176=""),"",IFERROR(AC176/(1-AE176)*(1+AB176),""))</f>
        <v/>
      </c>
      <c r="AG176" s="47"/>
      <c r="AH176" s="52" t="str">
        <f aca="false">IF(AD176="FIJO",IF(AG176="","",AG176),IF(AF176&lt;&gt;"",AF176,IF(AG176="","",AG176)))</f>
        <v/>
      </c>
      <c r="AI176" s="52" t="str">
        <f aca="false">IF(OR(AH176="",AB176=""),"",IFERROR(AH176/(1+AB176),""))</f>
        <v/>
      </c>
      <c r="AJ176" s="50" t="str">
        <f aca="false">IF(OR(AI176="",AC176=""),"",IFERROR((AI176-AC176)/AI176,""))</f>
        <v/>
      </c>
      <c r="AK176" s="53" t="str">
        <f aca="false">IF(OR(AJ176="",AE176=""),"",AJ176-AE176)</f>
        <v/>
      </c>
      <c r="AL176" s="54" t="str">
        <f aca="false">IF(OR(AH176="",AF176=""),"",AH176-AF176)</f>
        <v/>
      </c>
      <c r="AM176" s="55" t="str">
        <f aca="false">IF(OR(A176="",K176&lt;&gt;"SI"),"",IF(AE176="","Sin objetivo",IF(AJ176="","Faltan datos",IF(AJ176&lt;0,"PÉRDIDA",IF(AK176&lt;-UMB_CRITICO,"MUY POR DEBAJO",IF(AK176&lt;-UMB_BAJO,"POR DEBAJO",IF(AK176&lt;-UMB_AJUSTADO,"AJUSTADO",IF(AK176&lt;=UMB_ALTO,"EN OBJETIVO","POR ENCIMA"))))))))</f>
        <v/>
      </c>
      <c r="AN176" s="44"/>
      <c r="AO176" s="44"/>
      <c r="AP176" s="46"/>
      <c r="AQ176" s="46"/>
      <c r="AR176" s="46"/>
      <c r="AS176" s="44"/>
      <c r="AT176" s="44"/>
      <c r="AU176" s="44"/>
      <c r="AV176" s="44"/>
      <c r="AW176" s="44"/>
      <c r="AX176" s="45"/>
      <c r="AY176" s="44"/>
      <c r="AZ176" s="56"/>
      <c r="BA176" s="45"/>
    </row>
    <row r="177" customFormat="false" ht="15" hidden="false" customHeight="false" outlineLevel="0" collapsed="false">
      <c r="A177" s="44"/>
      <c r="B177" s="44"/>
      <c r="C177" s="45"/>
      <c r="D177" s="45"/>
      <c r="E177" s="44"/>
      <c r="F177" s="44"/>
      <c r="G177" s="44"/>
      <c r="H177" s="44"/>
      <c r="I177" s="44"/>
      <c r="J177" s="44"/>
      <c r="K177" s="44"/>
      <c r="L177" s="44"/>
      <c r="M177" s="44"/>
      <c r="N177" s="44"/>
      <c r="O177" s="46"/>
      <c r="P177" s="44"/>
      <c r="Q177" s="46"/>
      <c r="R177" s="44"/>
      <c r="S177" s="45"/>
      <c r="T177" s="44"/>
      <c r="U177" s="44"/>
      <c r="V177" s="47"/>
      <c r="W177" s="48" t="str">
        <f aca="false">IF(V177="","",IFERROR(V177/O177,""))</f>
        <v/>
      </c>
      <c r="X177" s="44"/>
      <c r="Y177" s="46"/>
      <c r="Z177" s="49"/>
      <c r="AA177" s="44"/>
      <c r="AB177" s="50" t="str">
        <f aca="false">IFERROR(INDEX(TABLA_IVA!$C$3:$C$6,MATCH(AA177,TABLA_IVA!$A$3:$A$6,0)),"")</f>
        <v/>
      </c>
      <c r="AC177" s="47"/>
      <c r="AD177" s="44"/>
      <c r="AE177" s="51"/>
      <c r="AF177" s="52" t="str">
        <f aca="false">IF(OR(AC177="",AE177="",AB177=""),"",IFERROR(AC177/(1-AE177)*(1+AB177),""))</f>
        <v/>
      </c>
      <c r="AG177" s="47"/>
      <c r="AH177" s="52" t="str">
        <f aca="false">IF(AD177="FIJO",IF(AG177="","",AG177),IF(AF177&lt;&gt;"",AF177,IF(AG177="","",AG177)))</f>
        <v/>
      </c>
      <c r="AI177" s="52" t="str">
        <f aca="false">IF(OR(AH177="",AB177=""),"",IFERROR(AH177/(1+AB177),""))</f>
        <v/>
      </c>
      <c r="AJ177" s="50" t="str">
        <f aca="false">IF(OR(AI177="",AC177=""),"",IFERROR((AI177-AC177)/AI177,""))</f>
        <v/>
      </c>
      <c r="AK177" s="53" t="str">
        <f aca="false">IF(OR(AJ177="",AE177=""),"",AJ177-AE177)</f>
        <v/>
      </c>
      <c r="AL177" s="54" t="str">
        <f aca="false">IF(OR(AH177="",AF177=""),"",AH177-AF177)</f>
        <v/>
      </c>
      <c r="AM177" s="55" t="str">
        <f aca="false">IF(OR(A177="",K177&lt;&gt;"SI"),"",IF(AE177="","Sin objetivo",IF(AJ177="","Faltan datos",IF(AJ177&lt;0,"PÉRDIDA",IF(AK177&lt;-UMB_CRITICO,"MUY POR DEBAJO",IF(AK177&lt;-UMB_BAJO,"POR DEBAJO",IF(AK177&lt;-UMB_AJUSTADO,"AJUSTADO",IF(AK177&lt;=UMB_ALTO,"EN OBJETIVO","POR ENCIMA"))))))))</f>
        <v/>
      </c>
      <c r="AN177" s="44"/>
      <c r="AO177" s="44"/>
      <c r="AP177" s="46"/>
      <c r="AQ177" s="46"/>
      <c r="AR177" s="46"/>
      <c r="AS177" s="44"/>
      <c r="AT177" s="44"/>
      <c r="AU177" s="44"/>
      <c r="AV177" s="44"/>
      <c r="AW177" s="44"/>
      <c r="AX177" s="45"/>
      <c r="AY177" s="44"/>
      <c r="AZ177" s="56"/>
      <c r="BA177" s="45"/>
    </row>
    <row r="178" customFormat="false" ht="15" hidden="false" customHeight="false" outlineLevel="0" collapsed="false">
      <c r="A178" s="44"/>
      <c r="B178" s="44"/>
      <c r="C178" s="45"/>
      <c r="D178" s="45"/>
      <c r="E178" s="44"/>
      <c r="F178" s="44"/>
      <c r="G178" s="44"/>
      <c r="H178" s="44"/>
      <c r="I178" s="44"/>
      <c r="J178" s="44"/>
      <c r="K178" s="44"/>
      <c r="L178" s="44"/>
      <c r="M178" s="44"/>
      <c r="N178" s="44"/>
      <c r="O178" s="46"/>
      <c r="P178" s="44"/>
      <c r="Q178" s="46"/>
      <c r="R178" s="44"/>
      <c r="S178" s="45"/>
      <c r="T178" s="44"/>
      <c r="U178" s="44"/>
      <c r="V178" s="47"/>
      <c r="W178" s="48" t="str">
        <f aca="false">IF(V178="","",IFERROR(V178/O178,""))</f>
        <v/>
      </c>
      <c r="X178" s="44"/>
      <c r="Y178" s="46"/>
      <c r="Z178" s="49"/>
      <c r="AA178" s="44"/>
      <c r="AB178" s="50" t="str">
        <f aca="false">IFERROR(INDEX(TABLA_IVA!$C$3:$C$6,MATCH(AA178,TABLA_IVA!$A$3:$A$6,0)),"")</f>
        <v/>
      </c>
      <c r="AC178" s="47"/>
      <c r="AD178" s="44"/>
      <c r="AE178" s="51"/>
      <c r="AF178" s="52" t="str">
        <f aca="false">IF(OR(AC178="",AE178="",AB178=""),"",IFERROR(AC178/(1-AE178)*(1+AB178),""))</f>
        <v/>
      </c>
      <c r="AG178" s="47"/>
      <c r="AH178" s="52" t="str">
        <f aca="false">IF(AD178="FIJO",IF(AG178="","",AG178),IF(AF178&lt;&gt;"",AF178,IF(AG178="","",AG178)))</f>
        <v/>
      </c>
      <c r="AI178" s="52" t="str">
        <f aca="false">IF(OR(AH178="",AB178=""),"",IFERROR(AH178/(1+AB178),""))</f>
        <v/>
      </c>
      <c r="AJ178" s="50" t="str">
        <f aca="false">IF(OR(AI178="",AC178=""),"",IFERROR((AI178-AC178)/AI178,""))</f>
        <v/>
      </c>
      <c r="AK178" s="53" t="str">
        <f aca="false">IF(OR(AJ178="",AE178=""),"",AJ178-AE178)</f>
        <v/>
      </c>
      <c r="AL178" s="54" t="str">
        <f aca="false">IF(OR(AH178="",AF178=""),"",AH178-AF178)</f>
        <v/>
      </c>
      <c r="AM178" s="55" t="str">
        <f aca="false">IF(OR(A178="",K178&lt;&gt;"SI"),"",IF(AE178="","Sin objetivo",IF(AJ178="","Faltan datos",IF(AJ178&lt;0,"PÉRDIDA",IF(AK178&lt;-UMB_CRITICO,"MUY POR DEBAJO",IF(AK178&lt;-UMB_BAJO,"POR DEBAJO",IF(AK178&lt;-UMB_AJUSTADO,"AJUSTADO",IF(AK178&lt;=UMB_ALTO,"EN OBJETIVO","POR ENCIMA"))))))))</f>
        <v/>
      </c>
      <c r="AN178" s="44"/>
      <c r="AO178" s="44"/>
      <c r="AP178" s="46"/>
      <c r="AQ178" s="46"/>
      <c r="AR178" s="46"/>
      <c r="AS178" s="44"/>
      <c r="AT178" s="44"/>
      <c r="AU178" s="44"/>
      <c r="AV178" s="44"/>
      <c r="AW178" s="44"/>
      <c r="AX178" s="45"/>
      <c r="AY178" s="44"/>
      <c r="AZ178" s="56"/>
      <c r="BA178" s="45"/>
    </row>
    <row r="179" customFormat="false" ht="15" hidden="false" customHeight="false" outlineLevel="0" collapsed="false">
      <c r="A179" s="44"/>
      <c r="B179" s="44"/>
      <c r="C179" s="45"/>
      <c r="D179" s="45"/>
      <c r="E179" s="44"/>
      <c r="F179" s="44"/>
      <c r="G179" s="44"/>
      <c r="H179" s="44"/>
      <c r="I179" s="44"/>
      <c r="J179" s="44"/>
      <c r="K179" s="44"/>
      <c r="L179" s="44"/>
      <c r="M179" s="44"/>
      <c r="N179" s="44"/>
      <c r="O179" s="46"/>
      <c r="P179" s="44"/>
      <c r="Q179" s="46"/>
      <c r="R179" s="44"/>
      <c r="S179" s="45"/>
      <c r="T179" s="44"/>
      <c r="U179" s="44"/>
      <c r="V179" s="47"/>
      <c r="W179" s="48" t="str">
        <f aca="false">IF(V179="","",IFERROR(V179/O179,""))</f>
        <v/>
      </c>
      <c r="X179" s="44"/>
      <c r="Y179" s="46"/>
      <c r="Z179" s="49"/>
      <c r="AA179" s="44"/>
      <c r="AB179" s="50" t="str">
        <f aca="false">IFERROR(INDEX(TABLA_IVA!$C$3:$C$6,MATCH(AA179,TABLA_IVA!$A$3:$A$6,0)),"")</f>
        <v/>
      </c>
      <c r="AC179" s="47"/>
      <c r="AD179" s="44"/>
      <c r="AE179" s="51"/>
      <c r="AF179" s="52" t="str">
        <f aca="false">IF(OR(AC179="",AE179="",AB179=""),"",IFERROR(AC179/(1-AE179)*(1+AB179),""))</f>
        <v/>
      </c>
      <c r="AG179" s="47"/>
      <c r="AH179" s="52" t="str">
        <f aca="false">IF(AD179="FIJO",IF(AG179="","",AG179),IF(AF179&lt;&gt;"",AF179,IF(AG179="","",AG179)))</f>
        <v/>
      </c>
      <c r="AI179" s="52" t="str">
        <f aca="false">IF(OR(AH179="",AB179=""),"",IFERROR(AH179/(1+AB179),""))</f>
        <v/>
      </c>
      <c r="AJ179" s="50" t="str">
        <f aca="false">IF(OR(AI179="",AC179=""),"",IFERROR((AI179-AC179)/AI179,""))</f>
        <v/>
      </c>
      <c r="AK179" s="53" t="str">
        <f aca="false">IF(OR(AJ179="",AE179=""),"",AJ179-AE179)</f>
        <v/>
      </c>
      <c r="AL179" s="54" t="str">
        <f aca="false">IF(OR(AH179="",AF179=""),"",AH179-AF179)</f>
        <v/>
      </c>
      <c r="AM179" s="55" t="str">
        <f aca="false">IF(OR(A179="",K179&lt;&gt;"SI"),"",IF(AE179="","Sin objetivo",IF(AJ179="","Faltan datos",IF(AJ179&lt;0,"PÉRDIDA",IF(AK179&lt;-UMB_CRITICO,"MUY POR DEBAJO",IF(AK179&lt;-UMB_BAJO,"POR DEBAJO",IF(AK179&lt;-UMB_AJUSTADO,"AJUSTADO",IF(AK179&lt;=UMB_ALTO,"EN OBJETIVO","POR ENCIMA"))))))))</f>
        <v/>
      </c>
      <c r="AN179" s="44"/>
      <c r="AO179" s="44"/>
      <c r="AP179" s="46"/>
      <c r="AQ179" s="46"/>
      <c r="AR179" s="46"/>
      <c r="AS179" s="44"/>
      <c r="AT179" s="44"/>
      <c r="AU179" s="44"/>
      <c r="AV179" s="44"/>
      <c r="AW179" s="44"/>
      <c r="AX179" s="45"/>
      <c r="AY179" s="44"/>
      <c r="AZ179" s="56"/>
      <c r="BA179" s="45"/>
    </row>
    <row r="180" customFormat="false" ht="15" hidden="false" customHeight="false" outlineLevel="0" collapsed="false">
      <c r="A180" s="44"/>
      <c r="B180" s="44"/>
      <c r="C180" s="45"/>
      <c r="D180" s="45"/>
      <c r="E180" s="44"/>
      <c r="F180" s="44"/>
      <c r="G180" s="44"/>
      <c r="H180" s="44"/>
      <c r="I180" s="44"/>
      <c r="J180" s="44"/>
      <c r="K180" s="44"/>
      <c r="L180" s="44"/>
      <c r="M180" s="44"/>
      <c r="N180" s="44"/>
      <c r="O180" s="46"/>
      <c r="P180" s="44"/>
      <c r="Q180" s="46"/>
      <c r="R180" s="44"/>
      <c r="S180" s="45"/>
      <c r="T180" s="44"/>
      <c r="U180" s="44"/>
      <c r="V180" s="47"/>
      <c r="W180" s="48" t="str">
        <f aca="false">IF(V180="","",IFERROR(V180/O180,""))</f>
        <v/>
      </c>
      <c r="X180" s="44"/>
      <c r="Y180" s="46"/>
      <c r="Z180" s="49"/>
      <c r="AA180" s="44"/>
      <c r="AB180" s="50" t="str">
        <f aca="false">IFERROR(INDEX(TABLA_IVA!$C$3:$C$6,MATCH(AA180,TABLA_IVA!$A$3:$A$6,0)),"")</f>
        <v/>
      </c>
      <c r="AC180" s="47"/>
      <c r="AD180" s="44"/>
      <c r="AE180" s="51"/>
      <c r="AF180" s="52" t="str">
        <f aca="false">IF(OR(AC180="",AE180="",AB180=""),"",IFERROR(AC180/(1-AE180)*(1+AB180),""))</f>
        <v/>
      </c>
      <c r="AG180" s="47"/>
      <c r="AH180" s="52" t="str">
        <f aca="false">IF(AD180="FIJO",IF(AG180="","",AG180),IF(AF180&lt;&gt;"",AF180,IF(AG180="","",AG180)))</f>
        <v/>
      </c>
      <c r="AI180" s="52" t="str">
        <f aca="false">IF(OR(AH180="",AB180=""),"",IFERROR(AH180/(1+AB180),""))</f>
        <v/>
      </c>
      <c r="AJ180" s="50" t="str">
        <f aca="false">IF(OR(AI180="",AC180=""),"",IFERROR((AI180-AC180)/AI180,""))</f>
        <v/>
      </c>
      <c r="AK180" s="53" t="str">
        <f aca="false">IF(OR(AJ180="",AE180=""),"",AJ180-AE180)</f>
        <v/>
      </c>
      <c r="AL180" s="54" t="str">
        <f aca="false">IF(OR(AH180="",AF180=""),"",AH180-AF180)</f>
        <v/>
      </c>
      <c r="AM180" s="55" t="str">
        <f aca="false">IF(OR(A180="",K180&lt;&gt;"SI"),"",IF(AE180="","Sin objetivo",IF(AJ180="","Faltan datos",IF(AJ180&lt;0,"PÉRDIDA",IF(AK180&lt;-UMB_CRITICO,"MUY POR DEBAJO",IF(AK180&lt;-UMB_BAJO,"POR DEBAJO",IF(AK180&lt;-UMB_AJUSTADO,"AJUSTADO",IF(AK180&lt;=UMB_ALTO,"EN OBJETIVO","POR ENCIMA"))))))))</f>
        <v/>
      </c>
      <c r="AN180" s="44"/>
      <c r="AO180" s="44"/>
      <c r="AP180" s="46"/>
      <c r="AQ180" s="46"/>
      <c r="AR180" s="46"/>
      <c r="AS180" s="44"/>
      <c r="AT180" s="44"/>
      <c r="AU180" s="44"/>
      <c r="AV180" s="44"/>
      <c r="AW180" s="44"/>
      <c r="AX180" s="45"/>
      <c r="AY180" s="44"/>
      <c r="AZ180" s="56"/>
      <c r="BA180" s="45"/>
    </row>
    <row r="181" customFormat="false" ht="15" hidden="false" customHeight="false" outlineLevel="0" collapsed="false">
      <c r="A181" s="44"/>
      <c r="B181" s="44"/>
      <c r="C181" s="45"/>
      <c r="D181" s="45"/>
      <c r="E181" s="44"/>
      <c r="F181" s="44"/>
      <c r="G181" s="44"/>
      <c r="H181" s="44"/>
      <c r="I181" s="44"/>
      <c r="J181" s="44"/>
      <c r="K181" s="44"/>
      <c r="L181" s="44"/>
      <c r="M181" s="44"/>
      <c r="N181" s="44"/>
      <c r="O181" s="46"/>
      <c r="P181" s="44"/>
      <c r="Q181" s="46"/>
      <c r="R181" s="44"/>
      <c r="S181" s="45"/>
      <c r="T181" s="44"/>
      <c r="U181" s="44"/>
      <c r="V181" s="47"/>
      <c r="W181" s="48" t="str">
        <f aca="false">IF(V181="","",IFERROR(V181/O181,""))</f>
        <v/>
      </c>
      <c r="X181" s="44"/>
      <c r="Y181" s="46"/>
      <c r="Z181" s="49"/>
      <c r="AA181" s="44"/>
      <c r="AB181" s="50" t="str">
        <f aca="false">IFERROR(INDEX(TABLA_IVA!$C$3:$C$6,MATCH(AA181,TABLA_IVA!$A$3:$A$6,0)),"")</f>
        <v/>
      </c>
      <c r="AC181" s="47"/>
      <c r="AD181" s="44"/>
      <c r="AE181" s="51"/>
      <c r="AF181" s="52" t="str">
        <f aca="false">IF(OR(AC181="",AE181="",AB181=""),"",IFERROR(AC181/(1-AE181)*(1+AB181),""))</f>
        <v/>
      </c>
      <c r="AG181" s="47"/>
      <c r="AH181" s="52" t="str">
        <f aca="false">IF(AD181="FIJO",IF(AG181="","",AG181),IF(AF181&lt;&gt;"",AF181,IF(AG181="","",AG181)))</f>
        <v/>
      </c>
      <c r="AI181" s="52" t="str">
        <f aca="false">IF(OR(AH181="",AB181=""),"",IFERROR(AH181/(1+AB181),""))</f>
        <v/>
      </c>
      <c r="AJ181" s="50" t="str">
        <f aca="false">IF(OR(AI181="",AC181=""),"",IFERROR((AI181-AC181)/AI181,""))</f>
        <v/>
      </c>
      <c r="AK181" s="53" t="str">
        <f aca="false">IF(OR(AJ181="",AE181=""),"",AJ181-AE181)</f>
        <v/>
      </c>
      <c r="AL181" s="54" t="str">
        <f aca="false">IF(OR(AH181="",AF181=""),"",AH181-AF181)</f>
        <v/>
      </c>
      <c r="AM181" s="55" t="str">
        <f aca="false">IF(OR(A181="",K181&lt;&gt;"SI"),"",IF(AE181="","Sin objetivo",IF(AJ181="","Faltan datos",IF(AJ181&lt;0,"PÉRDIDA",IF(AK181&lt;-UMB_CRITICO,"MUY POR DEBAJO",IF(AK181&lt;-UMB_BAJO,"POR DEBAJO",IF(AK181&lt;-UMB_AJUSTADO,"AJUSTADO",IF(AK181&lt;=UMB_ALTO,"EN OBJETIVO","POR ENCIMA"))))))))</f>
        <v/>
      </c>
      <c r="AN181" s="44"/>
      <c r="AO181" s="44"/>
      <c r="AP181" s="46"/>
      <c r="AQ181" s="46"/>
      <c r="AR181" s="46"/>
      <c r="AS181" s="44"/>
      <c r="AT181" s="44"/>
      <c r="AU181" s="44"/>
      <c r="AV181" s="44"/>
      <c r="AW181" s="44"/>
      <c r="AX181" s="45"/>
      <c r="AY181" s="44"/>
      <c r="AZ181" s="56"/>
      <c r="BA181" s="45"/>
    </row>
    <row r="182" customFormat="false" ht="15" hidden="false" customHeight="false" outlineLevel="0" collapsed="false">
      <c r="A182" s="44"/>
      <c r="B182" s="44"/>
      <c r="C182" s="45"/>
      <c r="D182" s="45"/>
      <c r="E182" s="44"/>
      <c r="F182" s="44"/>
      <c r="G182" s="44"/>
      <c r="H182" s="44"/>
      <c r="I182" s="44"/>
      <c r="J182" s="44"/>
      <c r="K182" s="44"/>
      <c r="L182" s="44"/>
      <c r="M182" s="44"/>
      <c r="N182" s="44"/>
      <c r="O182" s="46"/>
      <c r="P182" s="44"/>
      <c r="Q182" s="46"/>
      <c r="R182" s="44"/>
      <c r="S182" s="45"/>
      <c r="T182" s="44"/>
      <c r="U182" s="44"/>
      <c r="V182" s="47"/>
      <c r="W182" s="48" t="str">
        <f aca="false">IF(V182="","",IFERROR(V182/O182,""))</f>
        <v/>
      </c>
      <c r="X182" s="44"/>
      <c r="Y182" s="46"/>
      <c r="Z182" s="49"/>
      <c r="AA182" s="44"/>
      <c r="AB182" s="50" t="str">
        <f aca="false">IFERROR(INDEX(TABLA_IVA!$C$3:$C$6,MATCH(AA182,TABLA_IVA!$A$3:$A$6,0)),"")</f>
        <v/>
      </c>
      <c r="AC182" s="47"/>
      <c r="AD182" s="44"/>
      <c r="AE182" s="51"/>
      <c r="AF182" s="52" t="str">
        <f aca="false">IF(OR(AC182="",AE182="",AB182=""),"",IFERROR(AC182/(1-AE182)*(1+AB182),""))</f>
        <v/>
      </c>
      <c r="AG182" s="47"/>
      <c r="AH182" s="52" t="str">
        <f aca="false">IF(AD182="FIJO",IF(AG182="","",AG182),IF(AF182&lt;&gt;"",AF182,IF(AG182="","",AG182)))</f>
        <v/>
      </c>
      <c r="AI182" s="52" t="str">
        <f aca="false">IF(OR(AH182="",AB182=""),"",IFERROR(AH182/(1+AB182),""))</f>
        <v/>
      </c>
      <c r="AJ182" s="50" t="str">
        <f aca="false">IF(OR(AI182="",AC182=""),"",IFERROR((AI182-AC182)/AI182,""))</f>
        <v/>
      </c>
      <c r="AK182" s="53" t="str">
        <f aca="false">IF(OR(AJ182="",AE182=""),"",AJ182-AE182)</f>
        <v/>
      </c>
      <c r="AL182" s="54" t="str">
        <f aca="false">IF(OR(AH182="",AF182=""),"",AH182-AF182)</f>
        <v/>
      </c>
      <c r="AM182" s="55" t="str">
        <f aca="false">IF(OR(A182="",K182&lt;&gt;"SI"),"",IF(AE182="","Sin objetivo",IF(AJ182="","Faltan datos",IF(AJ182&lt;0,"PÉRDIDA",IF(AK182&lt;-UMB_CRITICO,"MUY POR DEBAJO",IF(AK182&lt;-UMB_BAJO,"POR DEBAJO",IF(AK182&lt;-UMB_AJUSTADO,"AJUSTADO",IF(AK182&lt;=UMB_ALTO,"EN OBJETIVO","POR ENCIMA"))))))))</f>
        <v/>
      </c>
      <c r="AN182" s="44"/>
      <c r="AO182" s="44"/>
      <c r="AP182" s="46"/>
      <c r="AQ182" s="46"/>
      <c r="AR182" s="46"/>
      <c r="AS182" s="44"/>
      <c r="AT182" s="44"/>
      <c r="AU182" s="44"/>
      <c r="AV182" s="44"/>
      <c r="AW182" s="44"/>
      <c r="AX182" s="45"/>
      <c r="AY182" s="44"/>
      <c r="AZ182" s="56"/>
      <c r="BA182" s="45"/>
    </row>
    <row r="183" customFormat="false" ht="15" hidden="false" customHeight="false" outlineLevel="0" collapsed="false">
      <c r="A183" s="44"/>
      <c r="B183" s="44"/>
      <c r="C183" s="45"/>
      <c r="D183" s="45"/>
      <c r="E183" s="44"/>
      <c r="F183" s="44"/>
      <c r="G183" s="44"/>
      <c r="H183" s="44"/>
      <c r="I183" s="44"/>
      <c r="J183" s="44"/>
      <c r="K183" s="44"/>
      <c r="L183" s="44"/>
      <c r="M183" s="44"/>
      <c r="N183" s="44"/>
      <c r="O183" s="46"/>
      <c r="P183" s="44"/>
      <c r="Q183" s="46"/>
      <c r="R183" s="44"/>
      <c r="S183" s="45"/>
      <c r="T183" s="44"/>
      <c r="U183" s="44"/>
      <c r="V183" s="47"/>
      <c r="W183" s="48" t="str">
        <f aca="false">IF(V183="","",IFERROR(V183/O183,""))</f>
        <v/>
      </c>
      <c r="X183" s="44"/>
      <c r="Y183" s="46"/>
      <c r="Z183" s="49"/>
      <c r="AA183" s="44"/>
      <c r="AB183" s="50" t="str">
        <f aca="false">IFERROR(INDEX(TABLA_IVA!$C$3:$C$6,MATCH(AA183,TABLA_IVA!$A$3:$A$6,0)),"")</f>
        <v/>
      </c>
      <c r="AC183" s="47"/>
      <c r="AD183" s="44"/>
      <c r="AE183" s="51"/>
      <c r="AF183" s="52" t="str">
        <f aca="false">IF(OR(AC183="",AE183="",AB183=""),"",IFERROR(AC183/(1-AE183)*(1+AB183),""))</f>
        <v/>
      </c>
      <c r="AG183" s="47"/>
      <c r="AH183" s="52" t="str">
        <f aca="false">IF(AD183="FIJO",IF(AG183="","",AG183),IF(AF183&lt;&gt;"",AF183,IF(AG183="","",AG183)))</f>
        <v/>
      </c>
      <c r="AI183" s="52" t="str">
        <f aca="false">IF(OR(AH183="",AB183=""),"",IFERROR(AH183/(1+AB183),""))</f>
        <v/>
      </c>
      <c r="AJ183" s="50" t="str">
        <f aca="false">IF(OR(AI183="",AC183=""),"",IFERROR((AI183-AC183)/AI183,""))</f>
        <v/>
      </c>
      <c r="AK183" s="53" t="str">
        <f aca="false">IF(OR(AJ183="",AE183=""),"",AJ183-AE183)</f>
        <v/>
      </c>
      <c r="AL183" s="54" t="str">
        <f aca="false">IF(OR(AH183="",AF183=""),"",AH183-AF183)</f>
        <v/>
      </c>
      <c r="AM183" s="55" t="str">
        <f aca="false">IF(OR(A183="",K183&lt;&gt;"SI"),"",IF(AE183="","Sin objetivo",IF(AJ183="","Faltan datos",IF(AJ183&lt;0,"PÉRDIDA",IF(AK183&lt;-UMB_CRITICO,"MUY POR DEBAJO",IF(AK183&lt;-UMB_BAJO,"POR DEBAJO",IF(AK183&lt;-UMB_AJUSTADO,"AJUSTADO",IF(AK183&lt;=UMB_ALTO,"EN OBJETIVO","POR ENCIMA"))))))))</f>
        <v/>
      </c>
      <c r="AN183" s="44"/>
      <c r="AO183" s="44"/>
      <c r="AP183" s="46"/>
      <c r="AQ183" s="46"/>
      <c r="AR183" s="46"/>
      <c r="AS183" s="44"/>
      <c r="AT183" s="44"/>
      <c r="AU183" s="44"/>
      <c r="AV183" s="44"/>
      <c r="AW183" s="44"/>
      <c r="AX183" s="45"/>
      <c r="AY183" s="44"/>
      <c r="AZ183" s="56"/>
      <c r="BA183" s="45"/>
    </row>
    <row r="184" customFormat="false" ht="15" hidden="false" customHeight="false" outlineLevel="0" collapsed="false">
      <c r="A184" s="44"/>
      <c r="B184" s="44"/>
      <c r="C184" s="45"/>
      <c r="D184" s="45"/>
      <c r="E184" s="44"/>
      <c r="F184" s="44"/>
      <c r="G184" s="44"/>
      <c r="H184" s="44"/>
      <c r="I184" s="44"/>
      <c r="J184" s="44"/>
      <c r="K184" s="44"/>
      <c r="L184" s="44"/>
      <c r="M184" s="44"/>
      <c r="N184" s="44"/>
      <c r="O184" s="46"/>
      <c r="P184" s="44"/>
      <c r="Q184" s="46"/>
      <c r="R184" s="44"/>
      <c r="S184" s="45"/>
      <c r="T184" s="44"/>
      <c r="U184" s="44"/>
      <c r="V184" s="47"/>
      <c r="W184" s="48" t="str">
        <f aca="false">IF(V184="","",IFERROR(V184/O184,""))</f>
        <v/>
      </c>
      <c r="X184" s="44"/>
      <c r="Y184" s="46"/>
      <c r="Z184" s="49"/>
      <c r="AA184" s="44"/>
      <c r="AB184" s="50" t="str">
        <f aca="false">IFERROR(INDEX(TABLA_IVA!$C$3:$C$6,MATCH(AA184,TABLA_IVA!$A$3:$A$6,0)),"")</f>
        <v/>
      </c>
      <c r="AC184" s="47"/>
      <c r="AD184" s="44"/>
      <c r="AE184" s="51"/>
      <c r="AF184" s="52" t="str">
        <f aca="false">IF(OR(AC184="",AE184="",AB184=""),"",IFERROR(AC184/(1-AE184)*(1+AB184),""))</f>
        <v/>
      </c>
      <c r="AG184" s="47"/>
      <c r="AH184" s="52" t="str">
        <f aca="false">IF(AD184="FIJO",IF(AG184="","",AG184),IF(AF184&lt;&gt;"",AF184,IF(AG184="","",AG184)))</f>
        <v/>
      </c>
      <c r="AI184" s="52" t="str">
        <f aca="false">IF(OR(AH184="",AB184=""),"",IFERROR(AH184/(1+AB184),""))</f>
        <v/>
      </c>
      <c r="AJ184" s="50" t="str">
        <f aca="false">IF(OR(AI184="",AC184=""),"",IFERROR((AI184-AC184)/AI184,""))</f>
        <v/>
      </c>
      <c r="AK184" s="53" t="str">
        <f aca="false">IF(OR(AJ184="",AE184=""),"",AJ184-AE184)</f>
        <v/>
      </c>
      <c r="AL184" s="54" t="str">
        <f aca="false">IF(OR(AH184="",AF184=""),"",AH184-AF184)</f>
        <v/>
      </c>
      <c r="AM184" s="55" t="str">
        <f aca="false">IF(OR(A184="",K184&lt;&gt;"SI"),"",IF(AE184="","Sin objetivo",IF(AJ184="","Faltan datos",IF(AJ184&lt;0,"PÉRDIDA",IF(AK184&lt;-UMB_CRITICO,"MUY POR DEBAJO",IF(AK184&lt;-UMB_BAJO,"POR DEBAJO",IF(AK184&lt;-UMB_AJUSTADO,"AJUSTADO",IF(AK184&lt;=UMB_ALTO,"EN OBJETIVO","POR ENCIMA"))))))))</f>
        <v/>
      </c>
      <c r="AN184" s="44"/>
      <c r="AO184" s="44"/>
      <c r="AP184" s="46"/>
      <c r="AQ184" s="46"/>
      <c r="AR184" s="46"/>
      <c r="AS184" s="44"/>
      <c r="AT184" s="44"/>
      <c r="AU184" s="44"/>
      <c r="AV184" s="44"/>
      <c r="AW184" s="44"/>
      <c r="AX184" s="45"/>
      <c r="AY184" s="44"/>
      <c r="AZ184" s="56"/>
      <c r="BA184" s="45"/>
    </row>
    <row r="185" customFormat="false" ht="15" hidden="false" customHeight="false" outlineLevel="0" collapsed="false">
      <c r="A185" s="44"/>
      <c r="B185" s="44"/>
      <c r="C185" s="45"/>
      <c r="D185" s="45"/>
      <c r="E185" s="44"/>
      <c r="F185" s="44"/>
      <c r="G185" s="44"/>
      <c r="H185" s="44"/>
      <c r="I185" s="44"/>
      <c r="J185" s="44"/>
      <c r="K185" s="44"/>
      <c r="L185" s="44"/>
      <c r="M185" s="44"/>
      <c r="N185" s="44"/>
      <c r="O185" s="46"/>
      <c r="P185" s="44"/>
      <c r="Q185" s="46"/>
      <c r="R185" s="44"/>
      <c r="S185" s="45"/>
      <c r="T185" s="44"/>
      <c r="U185" s="44"/>
      <c r="V185" s="47"/>
      <c r="W185" s="48" t="str">
        <f aca="false">IF(V185="","",IFERROR(V185/O185,""))</f>
        <v/>
      </c>
      <c r="X185" s="44"/>
      <c r="Y185" s="46"/>
      <c r="Z185" s="49"/>
      <c r="AA185" s="44"/>
      <c r="AB185" s="50" t="str">
        <f aca="false">IFERROR(INDEX(TABLA_IVA!$C$3:$C$6,MATCH(AA185,TABLA_IVA!$A$3:$A$6,0)),"")</f>
        <v/>
      </c>
      <c r="AC185" s="47"/>
      <c r="AD185" s="44"/>
      <c r="AE185" s="51"/>
      <c r="AF185" s="52" t="str">
        <f aca="false">IF(OR(AC185="",AE185="",AB185=""),"",IFERROR(AC185/(1-AE185)*(1+AB185),""))</f>
        <v/>
      </c>
      <c r="AG185" s="47"/>
      <c r="AH185" s="52" t="str">
        <f aca="false">IF(AD185="FIJO",IF(AG185="","",AG185),IF(AF185&lt;&gt;"",AF185,IF(AG185="","",AG185)))</f>
        <v/>
      </c>
      <c r="AI185" s="52" t="str">
        <f aca="false">IF(OR(AH185="",AB185=""),"",IFERROR(AH185/(1+AB185),""))</f>
        <v/>
      </c>
      <c r="AJ185" s="50" t="str">
        <f aca="false">IF(OR(AI185="",AC185=""),"",IFERROR((AI185-AC185)/AI185,""))</f>
        <v/>
      </c>
      <c r="AK185" s="53" t="str">
        <f aca="false">IF(OR(AJ185="",AE185=""),"",AJ185-AE185)</f>
        <v/>
      </c>
      <c r="AL185" s="54" t="str">
        <f aca="false">IF(OR(AH185="",AF185=""),"",AH185-AF185)</f>
        <v/>
      </c>
      <c r="AM185" s="55" t="str">
        <f aca="false">IF(OR(A185="",K185&lt;&gt;"SI"),"",IF(AE185="","Sin objetivo",IF(AJ185="","Faltan datos",IF(AJ185&lt;0,"PÉRDIDA",IF(AK185&lt;-UMB_CRITICO,"MUY POR DEBAJO",IF(AK185&lt;-UMB_BAJO,"POR DEBAJO",IF(AK185&lt;-UMB_AJUSTADO,"AJUSTADO",IF(AK185&lt;=UMB_ALTO,"EN OBJETIVO","POR ENCIMA"))))))))</f>
        <v/>
      </c>
      <c r="AN185" s="44"/>
      <c r="AO185" s="44"/>
      <c r="AP185" s="46"/>
      <c r="AQ185" s="46"/>
      <c r="AR185" s="46"/>
      <c r="AS185" s="44"/>
      <c r="AT185" s="44"/>
      <c r="AU185" s="44"/>
      <c r="AV185" s="44"/>
      <c r="AW185" s="44"/>
      <c r="AX185" s="45"/>
      <c r="AY185" s="44"/>
      <c r="AZ185" s="56"/>
      <c r="BA185" s="45"/>
    </row>
    <row r="186" customFormat="false" ht="15" hidden="false" customHeight="false" outlineLevel="0" collapsed="false">
      <c r="A186" s="44"/>
      <c r="B186" s="44"/>
      <c r="C186" s="45"/>
      <c r="D186" s="45"/>
      <c r="E186" s="44"/>
      <c r="F186" s="44"/>
      <c r="G186" s="44"/>
      <c r="H186" s="44"/>
      <c r="I186" s="44"/>
      <c r="J186" s="44"/>
      <c r="K186" s="44"/>
      <c r="L186" s="44"/>
      <c r="M186" s="44"/>
      <c r="N186" s="44"/>
      <c r="O186" s="46"/>
      <c r="P186" s="44"/>
      <c r="Q186" s="46"/>
      <c r="R186" s="44"/>
      <c r="S186" s="45"/>
      <c r="T186" s="44"/>
      <c r="U186" s="44"/>
      <c r="V186" s="47"/>
      <c r="W186" s="48" t="str">
        <f aca="false">IF(V186="","",IFERROR(V186/O186,""))</f>
        <v/>
      </c>
      <c r="X186" s="44"/>
      <c r="Y186" s="46"/>
      <c r="Z186" s="49"/>
      <c r="AA186" s="44"/>
      <c r="AB186" s="50" t="str">
        <f aca="false">IFERROR(INDEX(TABLA_IVA!$C$3:$C$6,MATCH(AA186,TABLA_IVA!$A$3:$A$6,0)),"")</f>
        <v/>
      </c>
      <c r="AC186" s="47"/>
      <c r="AD186" s="44"/>
      <c r="AE186" s="51"/>
      <c r="AF186" s="52" t="str">
        <f aca="false">IF(OR(AC186="",AE186="",AB186=""),"",IFERROR(AC186/(1-AE186)*(1+AB186),""))</f>
        <v/>
      </c>
      <c r="AG186" s="47"/>
      <c r="AH186" s="52" t="str">
        <f aca="false">IF(AD186="FIJO",IF(AG186="","",AG186),IF(AF186&lt;&gt;"",AF186,IF(AG186="","",AG186)))</f>
        <v/>
      </c>
      <c r="AI186" s="52" t="str">
        <f aca="false">IF(OR(AH186="",AB186=""),"",IFERROR(AH186/(1+AB186),""))</f>
        <v/>
      </c>
      <c r="AJ186" s="50" t="str">
        <f aca="false">IF(OR(AI186="",AC186=""),"",IFERROR((AI186-AC186)/AI186,""))</f>
        <v/>
      </c>
      <c r="AK186" s="53" t="str">
        <f aca="false">IF(OR(AJ186="",AE186=""),"",AJ186-AE186)</f>
        <v/>
      </c>
      <c r="AL186" s="54" t="str">
        <f aca="false">IF(OR(AH186="",AF186=""),"",AH186-AF186)</f>
        <v/>
      </c>
      <c r="AM186" s="55" t="str">
        <f aca="false">IF(OR(A186="",K186&lt;&gt;"SI"),"",IF(AE186="","Sin objetivo",IF(AJ186="","Faltan datos",IF(AJ186&lt;0,"PÉRDIDA",IF(AK186&lt;-UMB_CRITICO,"MUY POR DEBAJO",IF(AK186&lt;-UMB_BAJO,"POR DEBAJO",IF(AK186&lt;-UMB_AJUSTADO,"AJUSTADO",IF(AK186&lt;=UMB_ALTO,"EN OBJETIVO","POR ENCIMA"))))))))</f>
        <v/>
      </c>
      <c r="AN186" s="44"/>
      <c r="AO186" s="44"/>
      <c r="AP186" s="46"/>
      <c r="AQ186" s="46"/>
      <c r="AR186" s="46"/>
      <c r="AS186" s="44"/>
      <c r="AT186" s="44"/>
      <c r="AU186" s="44"/>
      <c r="AV186" s="44"/>
      <c r="AW186" s="44"/>
      <c r="AX186" s="45"/>
      <c r="AY186" s="44"/>
      <c r="AZ186" s="56"/>
      <c r="BA186" s="45"/>
    </row>
    <row r="187" customFormat="false" ht="15" hidden="false" customHeight="false" outlineLevel="0" collapsed="false">
      <c r="A187" s="44"/>
      <c r="B187" s="44"/>
      <c r="C187" s="45"/>
      <c r="D187" s="45"/>
      <c r="E187" s="44"/>
      <c r="F187" s="44"/>
      <c r="G187" s="44"/>
      <c r="H187" s="44"/>
      <c r="I187" s="44"/>
      <c r="J187" s="44"/>
      <c r="K187" s="44"/>
      <c r="L187" s="44"/>
      <c r="M187" s="44"/>
      <c r="N187" s="44"/>
      <c r="O187" s="46"/>
      <c r="P187" s="44"/>
      <c r="Q187" s="46"/>
      <c r="R187" s="44"/>
      <c r="S187" s="45"/>
      <c r="T187" s="44"/>
      <c r="U187" s="44"/>
      <c r="V187" s="47"/>
      <c r="W187" s="48" t="str">
        <f aca="false">IF(V187="","",IFERROR(V187/O187,""))</f>
        <v/>
      </c>
      <c r="X187" s="44"/>
      <c r="Y187" s="46"/>
      <c r="Z187" s="49"/>
      <c r="AA187" s="44"/>
      <c r="AB187" s="50" t="str">
        <f aca="false">IFERROR(INDEX(TABLA_IVA!$C$3:$C$6,MATCH(AA187,TABLA_IVA!$A$3:$A$6,0)),"")</f>
        <v/>
      </c>
      <c r="AC187" s="47"/>
      <c r="AD187" s="44"/>
      <c r="AE187" s="51"/>
      <c r="AF187" s="52" t="str">
        <f aca="false">IF(OR(AC187="",AE187="",AB187=""),"",IFERROR(AC187/(1-AE187)*(1+AB187),""))</f>
        <v/>
      </c>
      <c r="AG187" s="47"/>
      <c r="AH187" s="52" t="str">
        <f aca="false">IF(AD187="FIJO",IF(AG187="","",AG187),IF(AF187&lt;&gt;"",AF187,IF(AG187="","",AG187)))</f>
        <v/>
      </c>
      <c r="AI187" s="52" t="str">
        <f aca="false">IF(OR(AH187="",AB187=""),"",IFERROR(AH187/(1+AB187),""))</f>
        <v/>
      </c>
      <c r="AJ187" s="50" t="str">
        <f aca="false">IF(OR(AI187="",AC187=""),"",IFERROR((AI187-AC187)/AI187,""))</f>
        <v/>
      </c>
      <c r="AK187" s="53" t="str">
        <f aca="false">IF(OR(AJ187="",AE187=""),"",AJ187-AE187)</f>
        <v/>
      </c>
      <c r="AL187" s="54" t="str">
        <f aca="false">IF(OR(AH187="",AF187=""),"",AH187-AF187)</f>
        <v/>
      </c>
      <c r="AM187" s="55" t="str">
        <f aca="false">IF(OR(A187="",K187&lt;&gt;"SI"),"",IF(AE187="","Sin objetivo",IF(AJ187="","Faltan datos",IF(AJ187&lt;0,"PÉRDIDA",IF(AK187&lt;-UMB_CRITICO,"MUY POR DEBAJO",IF(AK187&lt;-UMB_BAJO,"POR DEBAJO",IF(AK187&lt;-UMB_AJUSTADO,"AJUSTADO",IF(AK187&lt;=UMB_ALTO,"EN OBJETIVO","POR ENCIMA"))))))))</f>
        <v/>
      </c>
      <c r="AN187" s="44"/>
      <c r="AO187" s="44"/>
      <c r="AP187" s="46"/>
      <c r="AQ187" s="46"/>
      <c r="AR187" s="46"/>
      <c r="AS187" s="44"/>
      <c r="AT187" s="44"/>
      <c r="AU187" s="44"/>
      <c r="AV187" s="44"/>
      <c r="AW187" s="44"/>
      <c r="AX187" s="45"/>
      <c r="AY187" s="44"/>
      <c r="AZ187" s="56"/>
      <c r="BA187" s="45"/>
    </row>
    <row r="188" customFormat="false" ht="15" hidden="false" customHeight="false" outlineLevel="0" collapsed="false">
      <c r="A188" s="44"/>
      <c r="B188" s="44"/>
      <c r="C188" s="45"/>
      <c r="D188" s="45"/>
      <c r="E188" s="44"/>
      <c r="F188" s="44"/>
      <c r="G188" s="44"/>
      <c r="H188" s="44"/>
      <c r="I188" s="44"/>
      <c r="J188" s="44"/>
      <c r="K188" s="44"/>
      <c r="L188" s="44"/>
      <c r="M188" s="44"/>
      <c r="N188" s="44"/>
      <c r="O188" s="46"/>
      <c r="P188" s="44"/>
      <c r="Q188" s="46"/>
      <c r="R188" s="44"/>
      <c r="S188" s="45"/>
      <c r="T188" s="44"/>
      <c r="U188" s="44"/>
      <c r="V188" s="47"/>
      <c r="W188" s="48" t="str">
        <f aca="false">IF(V188="","",IFERROR(V188/O188,""))</f>
        <v/>
      </c>
      <c r="X188" s="44"/>
      <c r="Y188" s="46"/>
      <c r="Z188" s="49"/>
      <c r="AA188" s="44"/>
      <c r="AB188" s="50" t="str">
        <f aca="false">IFERROR(INDEX(TABLA_IVA!$C$3:$C$6,MATCH(AA188,TABLA_IVA!$A$3:$A$6,0)),"")</f>
        <v/>
      </c>
      <c r="AC188" s="47"/>
      <c r="AD188" s="44"/>
      <c r="AE188" s="51"/>
      <c r="AF188" s="52" t="str">
        <f aca="false">IF(OR(AC188="",AE188="",AB188=""),"",IFERROR(AC188/(1-AE188)*(1+AB188),""))</f>
        <v/>
      </c>
      <c r="AG188" s="47"/>
      <c r="AH188" s="52" t="str">
        <f aca="false">IF(AD188="FIJO",IF(AG188="","",AG188),IF(AF188&lt;&gt;"",AF188,IF(AG188="","",AG188)))</f>
        <v/>
      </c>
      <c r="AI188" s="52" t="str">
        <f aca="false">IF(OR(AH188="",AB188=""),"",IFERROR(AH188/(1+AB188),""))</f>
        <v/>
      </c>
      <c r="AJ188" s="50" t="str">
        <f aca="false">IF(OR(AI188="",AC188=""),"",IFERROR((AI188-AC188)/AI188,""))</f>
        <v/>
      </c>
      <c r="AK188" s="53" t="str">
        <f aca="false">IF(OR(AJ188="",AE188=""),"",AJ188-AE188)</f>
        <v/>
      </c>
      <c r="AL188" s="54" t="str">
        <f aca="false">IF(OR(AH188="",AF188=""),"",AH188-AF188)</f>
        <v/>
      </c>
      <c r="AM188" s="55" t="str">
        <f aca="false">IF(OR(A188="",K188&lt;&gt;"SI"),"",IF(AE188="","Sin objetivo",IF(AJ188="","Faltan datos",IF(AJ188&lt;0,"PÉRDIDA",IF(AK188&lt;-UMB_CRITICO,"MUY POR DEBAJO",IF(AK188&lt;-UMB_BAJO,"POR DEBAJO",IF(AK188&lt;-UMB_AJUSTADO,"AJUSTADO",IF(AK188&lt;=UMB_ALTO,"EN OBJETIVO","POR ENCIMA"))))))))</f>
        <v/>
      </c>
      <c r="AN188" s="44"/>
      <c r="AO188" s="44"/>
      <c r="AP188" s="46"/>
      <c r="AQ188" s="46"/>
      <c r="AR188" s="46"/>
      <c r="AS188" s="44"/>
      <c r="AT188" s="44"/>
      <c r="AU188" s="44"/>
      <c r="AV188" s="44"/>
      <c r="AW188" s="44"/>
      <c r="AX188" s="45"/>
      <c r="AY188" s="44"/>
      <c r="AZ188" s="56"/>
      <c r="BA188" s="45"/>
    </row>
    <row r="189" customFormat="false" ht="15" hidden="false" customHeight="false" outlineLevel="0" collapsed="false">
      <c r="A189" s="44"/>
      <c r="B189" s="44"/>
      <c r="C189" s="45"/>
      <c r="D189" s="45"/>
      <c r="E189" s="44"/>
      <c r="F189" s="44"/>
      <c r="G189" s="44"/>
      <c r="H189" s="44"/>
      <c r="I189" s="44"/>
      <c r="J189" s="44"/>
      <c r="K189" s="44"/>
      <c r="L189" s="44"/>
      <c r="M189" s="44"/>
      <c r="N189" s="44"/>
      <c r="O189" s="46"/>
      <c r="P189" s="44"/>
      <c r="Q189" s="46"/>
      <c r="R189" s="44"/>
      <c r="S189" s="45"/>
      <c r="T189" s="44"/>
      <c r="U189" s="44"/>
      <c r="V189" s="47"/>
      <c r="W189" s="48" t="str">
        <f aca="false">IF(V189="","",IFERROR(V189/O189,""))</f>
        <v/>
      </c>
      <c r="X189" s="44"/>
      <c r="Y189" s="46"/>
      <c r="Z189" s="49"/>
      <c r="AA189" s="44"/>
      <c r="AB189" s="50" t="str">
        <f aca="false">IFERROR(INDEX(TABLA_IVA!$C$3:$C$6,MATCH(AA189,TABLA_IVA!$A$3:$A$6,0)),"")</f>
        <v/>
      </c>
      <c r="AC189" s="47"/>
      <c r="AD189" s="44"/>
      <c r="AE189" s="51"/>
      <c r="AF189" s="52" t="str">
        <f aca="false">IF(OR(AC189="",AE189="",AB189=""),"",IFERROR(AC189/(1-AE189)*(1+AB189),""))</f>
        <v/>
      </c>
      <c r="AG189" s="47"/>
      <c r="AH189" s="52" t="str">
        <f aca="false">IF(AD189="FIJO",IF(AG189="","",AG189),IF(AF189&lt;&gt;"",AF189,IF(AG189="","",AG189)))</f>
        <v/>
      </c>
      <c r="AI189" s="52" t="str">
        <f aca="false">IF(OR(AH189="",AB189=""),"",IFERROR(AH189/(1+AB189),""))</f>
        <v/>
      </c>
      <c r="AJ189" s="50" t="str">
        <f aca="false">IF(OR(AI189="",AC189=""),"",IFERROR((AI189-AC189)/AI189,""))</f>
        <v/>
      </c>
      <c r="AK189" s="53" t="str">
        <f aca="false">IF(OR(AJ189="",AE189=""),"",AJ189-AE189)</f>
        <v/>
      </c>
      <c r="AL189" s="54" t="str">
        <f aca="false">IF(OR(AH189="",AF189=""),"",AH189-AF189)</f>
        <v/>
      </c>
      <c r="AM189" s="55" t="str">
        <f aca="false">IF(OR(A189="",K189&lt;&gt;"SI"),"",IF(AE189="","Sin objetivo",IF(AJ189="","Faltan datos",IF(AJ189&lt;0,"PÉRDIDA",IF(AK189&lt;-UMB_CRITICO,"MUY POR DEBAJO",IF(AK189&lt;-UMB_BAJO,"POR DEBAJO",IF(AK189&lt;-UMB_AJUSTADO,"AJUSTADO",IF(AK189&lt;=UMB_ALTO,"EN OBJETIVO","POR ENCIMA"))))))))</f>
        <v/>
      </c>
      <c r="AN189" s="44"/>
      <c r="AO189" s="44"/>
      <c r="AP189" s="46"/>
      <c r="AQ189" s="46"/>
      <c r="AR189" s="46"/>
      <c r="AS189" s="44"/>
      <c r="AT189" s="44"/>
      <c r="AU189" s="44"/>
      <c r="AV189" s="44"/>
      <c r="AW189" s="44"/>
      <c r="AX189" s="45"/>
      <c r="AY189" s="44"/>
      <c r="AZ189" s="56"/>
      <c r="BA189" s="45"/>
    </row>
    <row r="190" customFormat="false" ht="15" hidden="false" customHeight="false" outlineLevel="0" collapsed="false">
      <c r="A190" s="44"/>
      <c r="B190" s="44"/>
      <c r="C190" s="45"/>
      <c r="D190" s="45"/>
      <c r="E190" s="44"/>
      <c r="F190" s="44"/>
      <c r="G190" s="44"/>
      <c r="H190" s="44"/>
      <c r="I190" s="44"/>
      <c r="J190" s="44"/>
      <c r="K190" s="44"/>
      <c r="L190" s="44"/>
      <c r="M190" s="44"/>
      <c r="N190" s="44"/>
      <c r="O190" s="46"/>
      <c r="P190" s="44"/>
      <c r="Q190" s="46"/>
      <c r="R190" s="44"/>
      <c r="S190" s="45"/>
      <c r="T190" s="44"/>
      <c r="U190" s="44"/>
      <c r="V190" s="47"/>
      <c r="W190" s="48" t="str">
        <f aca="false">IF(V190="","",IFERROR(V190/O190,""))</f>
        <v/>
      </c>
      <c r="X190" s="44"/>
      <c r="Y190" s="46"/>
      <c r="Z190" s="49"/>
      <c r="AA190" s="44"/>
      <c r="AB190" s="50" t="str">
        <f aca="false">IFERROR(INDEX(TABLA_IVA!$C$3:$C$6,MATCH(AA190,TABLA_IVA!$A$3:$A$6,0)),"")</f>
        <v/>
      </c>
      <c r="AC190" s="47"/>
      <c r="AD190" s="44"/>
      <c r="AE190" s="51"/>
      <c r="AF190" s="52" t="str">
        <f aca="false">IF(OR(AC190="",AE190="",AB190=""),"",IFERROR(AC190/(1-AE190)*(1+AB190),""))</f>
        <v/>
      </c>
      <c r="AG190" s="47"/>
      <c r="AH190" s="52" t="str">
        <f aca="false">IF(AD190="FIJO",IF(AG190="","",AG190),IF(AF190&lt;&gt;"",AF190,IF(AG190="","",AG190)))</f>
        <v/>
      </c>
      <c r="AI190" s="52" t="str">
        <f aca="false">IF(OR(AH190="",AB190=""),"",IFERROR(AH190/(1+AB190),""))</f>
        <v/>
      </c>
      <c r="AJ190" s="50" t="str">
        <f aca="false">IF(OR(AI190="",AC190=""),"",IFERROR((AI190-AC190)/AI190,""))</f>
        <v/>
      </c>
      <c r="AK190" s="53" t="str">
        <f aca="false">IF(OR(AJ190="",AE190=""),"",AJ190-AE190)</f>
        <v/>
      </c>
      <c r="AL190" s="54" t="str">
        <f aca="false">IF(OR(AH190="",AF190=""),"",AH190-AF190)</f>
        <v/>
      </c>
      <c r="AM190" s="55" t="str">
        <f aca="false">IF(OR(A190="",K190&lt;&gt;"SI"),"",IF(AE190="","Sin objetivo",IF(AJ190="","Faltan datos",IF(AJ190&lt;0,"PÉRDIDA",IF(AK190&lt;-UMB_CRITICO,"MUY POR DEBAJO",IF(AK190&lt;-UMB_BAJO,"POR DEBAJO",IF(AK190&lt;-UMB_AJUSTADO,"AJUSTADO",IF(AK190&lt;=UMB_ALTO,"EN OBJETIVO","POR ENCIMA"))))))))</f>
        <v/>
      </c>
      <c r="AN190" s="44"/>
      <c r="AO190" s="44"/>
      <c r="AP190" s="46"/>
      <c r="AQ190" s="46"/>
      <c r="AR190" s="46"/>
      <c r="AS190" s="44"/>
      <c r="AT190" s="44"/>
      <c r="AU190" s="44"/>
      <c r="AV190" s="44"/>
      <c r="AW190" s="44"/>
      <c r="AX190" s="45"/>
      <c r="AY190" s="44"/>
      <c r="AZ190" s="56"/>
      <c r="BA190" s="45"/>
    </row>
    <row r="191" customFormat="false" ht="15" hidden="false" customHeight="false" outlineLevel="0" collapsed="false">
      <c r="A191" s="44"/>
      <c r="B191" s="44"/>
      <c r="C191" s="45"/>
      <c r="D191" s="45"/>
      <c r="E191" s="44"/>
      <c r="F191" s="44"/>
      <c r="G191" s="44"/>
      <c r="H191" s="44"/>
      <c r="I191" s="44"/>
      <c r="J191" s="44"/>
      <c r="K191" s="44"/>
      <c r="L191" s="44"/>
      <c r="M191" s="44"/>
      <c r="N191" s="44"/>
      <c r="O191" s="46"/>
      <c r="P191" s="44"/>
      <c r="Q191" s="46"/>
      <c r="R191" s="44"/>
      <c r="S191" s="45"/>
      <c r="T191" s="44"/>
      <c r="U191" s="44"/>
      <c r="V191" s="47"/>
      <c r="W191" s="48" t="str">
        <f aca="false">IF(V191="","",IFERROR(V191/O191,""))</f>
        <v/>
      </c>
      <c r="X191" s="44"/>
      <c r="Y191" s="46"/>
      <c r="Z191" s="49"/>
      <c r="AA191" s="44"/>
      <c r="AB191" s="50" t="str">
        <f aca="false">IFERROR(INDEX(TABLA_IVA!$C$3:$C$6,MATCH(AA191,TABLA_IVA!$A$3:$A$6,0)),"")</f>
        <v/>
      </c>
      <c r="AC191" s="47"/>
      <c r="AD191" s="44"/>
      <c r="AE191" s="51"/>
      <c r="AF191" s="52" t="str">
        <f aca="false">IF(OR(AC191="",AE191="",AB191=""),"",IFERROR(AC191/(1-AE191)*(1+AB191),""))</f>
        <v/>
      </c>
      <c r="AG191" s="47"/>
      <c r="AH191" s="52" t="str">
        <f aca="false">IF(AD191="FIJO",IF(AG191="","",AG191),IF(AF191&lt;&gt;"",AF191,IF(AG191="","",AG191)))</f>
        <v/>
      </c>
      <c r="AI191" s="52" t="str">
        <f aca="false">IF(OR(AH191="",AB191=""),"",IFERROR(AH191/(1+AB191),""))</f>
        <v/>
      </c>
      <c r="AJ191" s="50" t="str">
        <f aca="false">IF(OR(AI191="",AC191=""),"",IFERROR((AI191-AC191)/AI191,""))</f>
        <v/>
      </c>
      <c r="AK191" s="53" t="str">
        <f aca="false">IF(OR(AJ191="",AE191=""),"",AJ191-AE191)</f>
        <v/>
      </c>
      <c r="AL191" s="54" t="str">
        <f aca="false">IF(OR(AH191="",AF191=""),"",AH191-AF191)</f>
        <v/>
      </c>
      <c r="AM191" s="55" t="str">
        <f aca="false">IF(OR(A191="",K191&lt;&gt;"SI"),"",IF(AE191="","Sin objetivo",IF(AJ191="","Faltan datos",IF(AJ191&lt;0,"PÉRDIDA",IF(AK191&lt;-UMB_CRITICO,"MUY POR DEBAJO",IF(AK191&lt;-UMB_BAJO,"POR DEBAJO",IF(AK191&lt;-UMB_AJUSTADO,"AJUSTADO",IF(AK191&lt;=UMB_ALTO,"EN OBJETIVO","POR ENCIMA"))))))))</f>
        <v/>
      </c>
      <c r="AN191" s="44"/>
      <c r="AO191" s="44"/>
      <c r="AP191" s="46"/>
      <c r="AQ191" s="46"/>
      <c r="AR191" s="46"/>
      <c r="AS191" s="44"/>
      <c r="AT191" s="44"/>
      <c r="AU191" s="44"/>
      <c r="AV191" s="44"/>
      <c r="AW191" s="44"/>
      <c r="AX191" s="45"/>
      <c r="AY191" s="44"/>
      <c r="AZ191" s="56"/>
      <c r="BA191" s="45"/>
    </row>
    <row r="192" customFormat="false" ht="15" hidden="false" customHeight="false" outlineLevel="0" collapsed="false">
      <c r="A192" s="44"/>
      <c r="B192" s="44"/>
      <c r="C192" s="45"/>
      <c r="D192" s="45"/>
      <c r="E192" s="44"/>
      <c r="F192" s="44"/>
      <c r="G192" s="44"/>
      <c r="H192" s="44"/>
      <c r="I192" s="44"/>
      <c r="J192" s="44"/>
      <c r="K192" s="44"/>
      <c r="L192" s="44"/>
      <c r="M192" s="44"/>
      <c r="N192" s="44"/>
      <c r="O192" s="46"/>
      <c r="P192" s="44"/>
      <c r="Q192" s="46"/>
      <c r="R192" s="44"/>
      <c r="S192" s="45"/>
      <c r="T192" s="44"/>
      <c r="U192" s="44"/>
      <c r="V192" s="47"/>
      <c r="W192" s="48" t="str">
        <f aca="false">IF(V192="","",IFERROR(V192/O192,""))</f>
        <v/>
      </c>
      <c r="X192" s="44"/>
      <c r="Y192" s="46"/>
      <c r="Z192" s="49"/>
      <c r="AA192" s="44"/>
      <c r="AB192" s="50" t="str">
        <f aca="false">IFERROR(INDEX(TABLA_IVA!$C$3:$C$6,MATCH(AA192,TABLA_IVA!$A$3:$A$6,0)),"")</f>
        <v/>
      </c>
      <c r="AC192" s="47"/>
      <c r="AD192" s="44"/>
      <c r="AE192" s="51"/>
      <c r="AF192" s="52" t="str">
        <f aca="false">IF(OR(AC192="",AE192="",AB192=""),"",IFERROR(AC192/(1-AE192)*(1+AB192),""))</f>
        <v/>
      </c>
      <c r="AG192" s="47"/>
      <c r="AH192" s="52" t="str">
        <f aca="false">IF(AD192="FIJO",IF(AG192="","",AG192),IF(AF192&lt;&gt;"",AF192,IF(AG192="","",AG192)))</f>
        <v/>
      </c>
      <c r="AI192" s="52" t="str">
        <f aca="false">IF(OR(AH192="",AB192=""),"",IFERROR(AH192/(1+AB192),""))</f>
        <v/>
      </c>
      <c r="AJ192" s="50" t="str">
        <f aca="false">IF(OR(AI192="",AC192=""),"",IFERROR((AI192-AC192)/AI192,""))</f>
        <v/>
      </c>
      <c r="AK192" s="53" t="str">
        <f aca="false">IF(OR(AJ192="",AE192=""),"",AJ192-AE192)</f>
        <v/>
      </c>
      <c r="AL192" s="54" t="str">
        <f aca="false">IF(OR(AH192="",AF192=""),"",AH192-AF192)</f>
        <v/>
      </c>
      <c r="AM192" s="55" t="str">
        <f aca="false">IF(OR(A192="",K192&lt;&gt;"SI"),"",IF(AE192="","Sin objetivo",IF(AJ192="","Faltan datos",IF(AJ192&lt;0,"PÉRDIDA",IF(AK192&lt;-UMB_CRITICO,"MUY POR DEBAJO",IF(AK192&lt;-UMB_BAJO,"POR DEBAJO",IF(AK192&lt;-UMB_AJUSTADO,"AJUSTADO",IF(AK192&lt;=UMB_ALTO,"EN OBJETIVO","POR ENCIMA"))))))))</f>
        <v/>
      </c>
      <c r="AN192" s="44"/>
      <c r="AO192" s="44"/>
      <c r="AP192" s="46"/>
      <c r="AQ192" s="46"/>
      <c r="AR192" s="46"/>
      <c r="AS192" s="44"/>
      <c r="AT192" s="44"/>
      <c r="AU192" s="44"/>
      <c r="AV192" s="44"/>
      <c r="AW192" s="44"/>
      <c r="AX192" s="45"/>
      <c r="AY192" s="44"/>
      <c r="AZ192" s="56"/>
      <c r="BA192" s="45"/>
    </row>
    <row r="193" customFormat="false" ht="15" hidden="false" customHeight="false" outlineLevel="0" collapsed="false">
      <c r="A193" s="44"/>
      <c r="B193" s="44"/>
      <c r="C193" s="45"/>
      <c r="D193" s="45"/>
      <c r="E193" s="44"/>
      <c r="F193" s="44"/>
      <c r="G193" s="44"/>
      <c r="H193" s="44"/>
      <c r="I193" s="44"/>
      <c r="J193" s="44"/>
      <c r="K193" s="44"/>
      <c r="L193" s="44"/>
      <c r="M193" s="44"/>
      <c r="N193" s="44"/>
      <c r="O193" s="46"/>
      <c r="P193" s="44"/>
      <c r="Q193" s="46"/>
      <c r="R193" s="44"/>
      <c r="S193" s="45"/>
      <c r="T193" s="44"/>
      <c r="U193" s="44"/>
      <c r="V193" s="47"/>
      <c r="W193" s="48" t="str">
        <f aca="false">IF(V193="","",IFERROR(V193/O193,""))</f>
        <v/>
      </c>
      <c r="X193" s="44"/>
      <c r="Y193" s="46"/>
      <c r="Z193" s="49"/>
      <c r="AA193" s="44"/>
      <c r="AB193" s="50" t="str">
        <f aca="false">IFERROR(INDEX(TABLA_IVA!$C$3:$C$6,MATCH(AA193,TABLA_IVA!$A$3:$A$6,0)),"")</f>
        <v/>
      </c>
      <c r="AC193" s="47"/>
      <c r="AD193" s="44"/>
      <c r="AE193" s="51"/>
      <c r="AF193" s="52" t="str">
        <f aca="false">IF(OR(AC193="",AE193="",AB193=""),"",IFERROR(AC193/(1-AE193)*(1+AB193),""))</f>
        <v/>
      </c>
      <c r="AG193" s="47"/>
      <c r="AH193" s="52" t="str">
        <f aca="false">IF(AD193="FIJO",IF(AG193="","",AG193),IF(AF193&lt;&gt;"",AF193,IF(AG193="","",AG193)))</f>
        <v/>
      </c>
      <c r="AI193" s="52" t="str">
        <f aca="false">IF(OR(AH193="",AB193=""),"",IFERROR(AH193/(1+AB193),""))</f>
        <v/>
      </c>
      <c r="AJ193" s="50" t="str">
        <f aca="false">IF(OR(AI193="",AC193=""),"",IFERROR((AI193-AC193)/AI193,""))</f>
        <v/>
      </c>
      <c r="AK193" s="53" t="str">
        <f aca="false">IF(OR(AJ193="",AE193=""),"",AJ193-AE193)</f>
        <v/>
      </c>
      <c r="AL193" s="54" t="str">
        <f aca="false">IF(OR(AH193="",AF193=""),"",AH193-AF193)</f>
        <v/>
      </c>
      <c r="AM193" s="55" t="str">
        <f aca="false">IF(OR(A193="",K193&lt;&gt;"SI"),"",IF(AE193="","Sin objetivo",IF(AJ193="","Faltan datos",IF(AJ193&lt;0,"PÉRDIDA",IF(AK193&lt;-UMB_CRITICO,"MUY POR DEBAJO",IF(AK193&lt;-UMB_BAJO,"POR DEBAJO",IF(AK193&lt;-UMB_AJUSTADO,"AJUSTADO",IF(AK193&lt;=UMB_ALTO,"EN OBJETIVO","POR ENCIMA"))))))))</f>
        <v/>
      </c>
      <c r="AN193" s="44"/>
      <c r="AO193" s="44"/>
      <c r="AP193" s="46"/>
      <c r="AQ193" s="46"/>
      <c r="AR193" s="46"/>
      <c r="AS193" s="44"/>
      <c r="AT193" s="44"/>
      <c r="AU193" s="44"/>
      <c r="AV193" s="44"/>
      <c r="AW193" s="44"/>
      <c r="AX193" s="45"/>
      <c r="AY193" s="44"/>
      <c r="AZ193" s="56"/>
      <c r="BA193" s="45"/>
    </row>
    <row r="194" customFormat="false" ht="15" hidden="false" customHeight="false" outlineLevel="0" collapsed="false">
      <c r="A194" s="44"/>
      <c r="B194" s="44"/>
      <c r="C194" s="45"/>
      <c r="D194" s="45"/>
      <c r="E194" s="44"/>
      <c r="F194" s="44"/>
      <c r="G194" s="44"/>
      <c r="H194" s="44"/>
      <c r="I194" s="44"/>
      <c r="J194" s="44"/>
      <c r="K194" s="44"/>
      <c r="L194" s="44"/>
      <c r="M194" s="44"/>
      <c r="N194" s="44"/>
      <c r="O194" s="46"/>
      <c r="P194" s="44"/>
      <c r="Q194" s="46"/>
      <c r="R194" s="44"/>
      <c r="S194" s="45"/>
      <c r="T194" s="44"/>
      <c r="U194" s="44"/>
      <c r="V194" s="47"/>
      <c r="W194" s="48" t="str">
        <f aca="false">IF(V194="","",IFERROR(V194/O194,""))</f>
        <v/>
      </c>
      <c r="X194" s="44"/>
      <c r="Y194" s="46"/>
      <c r="Z194" s="49"/>
      <c r="AA194" s="44"/>
      <c r="AB194" s="50" t="str">
        <f aca="false">IFERROR(INDEX(TABLA_IVA!$C$3:$C$6,MATCH(AA194,TABLA_IVA!$A$3:$A$6,0)),"")</f>
        <v/>
      </c>
      <c r="AC194" s="47"/>
      <c r="AD194" s="44"/>
      <c r="AE194" s="51"/>
      <c r="AF194" s="52" t="str">
        <f aca="false">IF(OR(AC194="",AE194="",AB194=""),"",IFERROR(AC194/(1-AE194)*(1+AB194),""))</f>
        <v/>
      </c>
      <c r="AG194" s="47"/>
      <c r="AH194" s="52" t="str">
        <f aca="false">IF(AD194="FIJO",IF(AG194="","",AG194),IF(AF194&lt;&gt;"",AF194,IF(AG194="","",AG194)))</f>
        <v/>
      </c>
      <c r="AI194" s="52" t="str">
        <f aca="false">IF(OR(AH194="",AB194=""),"",IFERROR(AH194/(1+AB194),""))</f>
        <v/>
      </c>
      <c r="AJ194" s="50" t="str">
        <f aca="false">IF(OR(AI194="",AC194=""),"",IFERROR((AI194-AC194)/AI194,""))</f>
        <v/>
      </c>
      <c r="AK194" s="53" t="str">
        <f aca="false">IF(OR(AJ194="",AE194=""),"",AJ194-AE194)</f>
        <v/>
      </c>
      <c r="AL194" s="54" t="str">
        <f aca="false">IF(OR(AH194="",AF194=""),"",AH194-AF194)</f>
        <v/>
      </c>
      <c r="AM194" s="55" t="str">
        <f aca="false">IF(OR(A194="",K194&lt;&gt;"SI"),"",IF(AE194="","Sin objetivo",IF(AJ194="","Faltan datos",IF(AJ194&lt;0,"PÉRDIDA",IF(AK194&lt;-UMB_CRITICO,"MUY POR DEBAJO",IF(AK194&lt;-UMB_BAJO,"POR DEBAJO",IF(AK194&lt;-UMB_AJUSTADO,"AJUSTADO",IF(AK194&lt;=UMB_ALTO,"EN OBJETIVO","POR ENCIMA"))))))))</f>
        <v/>
      </c>
      <c r="AN194" s="44"/>
      <c r="AO194" s="44"/>
      <c r="AP194" s="46"/>
      <c r="AQ194" s="46"/>
      <c r="AR194" s="46"/>
      <c r="AS194" s="44"/>
      <c r="AT194" s="44"/>
      <c r="AU194" s="44"/>
      <c r="AV194" s="44"/>
      <c r="AW194" s="44"/>
      <c r="AX194" s="45"/>
      <c r="AY194" s="44"/>
      <c r="AZ194" s="56"/>
      <c r="BA194" s="45"/>
    </row>
    <row r="195" customFormat="false" ht="15" hidden="false" customHeight="false" outlineLevel="0" collapsed="false">
      <c r="A195" s="44"/>
      <c r="B195" s="44"/>
      <c r="C195" s="45"/>
      <c r="D195" s="45"/>
      <c r="E195" s="44"/>
      <c r="F195" s="44"/>
      <c r="G195" s="44"/>
      <c r="H195" s="44"/>
      <c r="I195" s="44"/>
      <c r="J195" s="44"/>
      <c r="K195" s="44"/>
      <c r="L195" s="44"/>
      <c r="M195" s="44"/>
      <c r="N195" s="44"/>
      <c r="O195" s="46"/>
      <c r="P195" s="44"/>
      <c r="Q195" s="46"/>
      <c r="R195" s="44"/>
      <c r="S195" s="45"/>
      <c r="T195" s="44"/>
      <c r="U195" s="44"/>
      <c r="V195" s="47"/>
      <c r="W195" s="48" t="str">
        <f aca="false">IF(V195="","",IFERROR(V195/O195,""))</f>
        <v/>
      </c>
      <c r="X195" s="44"/>
      <c r="Y195" s="46"/>
      <c r="Z195" s="49"/>
      <c r="AA195" s="44"/>
      <c r="AB195" s="50" t="str">
        <f aca="false">IFERROR(INDEX(TABLA_IVA!$C$3:$C$6,MATCH(AA195,TABLA_IVA!$A$3:$A$6,0)),"")</f>
        <v/>
      </c>
      <c r="AC195" s="47"/>
      <c r="AD195" s="44"/>
      <c r="AE195" s="51"/>
      <c r="AF195" s="52" t="str">
        <f aca="false">IF(OR(AC195="",AE195="",AB195=""),"",IFERROR(AC195/(1-AE195)*(1+AB195),""))</f>
        <v/>
      </c>
      <c r="AG195" s="47"/>
      <c r="AH195" s="52" t="str">
        <f aca="false">IF(AD195="FIJO",IF(AG195="","",AG195),IF(AF195&lt;&gt;"",AF195,IF(AG195="","",AG195)))</f>
        <v/>
      </c>
      <c r="AI195" s="52" t="str">
        <f aca="false">IF(OR(AH195="",AB195=""),"",IFERROR(AH195/(1+AB195),""))</f>
        <v/>
      </c>
      <c r="AJ195" s="50" t="str">
        <f aca="false">IF(OR(AI195="",AC195=""),"",IFERROR((AI195-AC195)/AI195,""))</f>
        <v/>
      </c>
      <c r="AK195" s="53" t="str">
        <f aca="false">IF(OR(AJ195="",AE195=""),"",AJ195-AE195)</f>
        <v/>
      </c>
      <c r="AL195" s="54" t="str">
        <f aca="false">IF(OR(AH195="",AF195=""),"",AH195-AF195)</f>
        <v/>
      </c>
      <c r="AM195" s="55" t="str">
        <f aca="false">IF(OR(A195="",K195&lt;&gt;"SI"),"",IF(AE195="","Sin objetivo",IF(AJ195="","Faltan datos",IF(AJ195&lt;0,"PÉRDIDA",IF(AK195&lt;-UMB_CRITICO,"MUY POR DEBAJO",IF(AK195&lt;-UMB_BAJO,"POR DEBAJO",IF(AK195&lt;-UMB_AJUSTADO,"AJUSTADO",IF(AK195&lt;=UMB_ALTO,"EN OBJETIVO","POR ENCIMA"))))))))</f>
        <v/>
      </c>
      <c r="AN195" s="44"/>
      <c r="AO195" s="44"/>
      <c r="AP195" s="46"/>
      <c r="AQ195" s="46"/>
      <c r="AR195" s="46"/>
      <c r="AS195" s="44"/>
      <c r="AT195" s="44"/>
      <c r="AU195" s="44"/>
      <c r="AV195" s="44"/>
      <c r="AW195" s="44"/>
      <c r="AX195" s="45"/>
      <c r="AY195" s="44"/>
      <c r="AZ195" s="56"/>
      <c r="BA195" s="45"/>
    </row>
    <row r="196" customFormat="false" ht="15" hidden="false" customHeight="false" outlineLevel="0" collapsed="false">
      <c r="A196" s="44"/>
      <c r="B196" s="44"/>
      <c r="C196" s="45"/>
      <c r="D196" s="45"/>
      <c r="E196" s="44"/>
      <c r="F196" s="44"/>
      <c r="G196" s="44"/>
      <c r="H196" s="44"/>
      <c r="I196" s="44"/>
      <c r="J196" s="44"/>
      <c r="K196" s="44"/>
      <c r="L196" s="44"/>
      <c r="M196" s="44"/>
      <c r="N196" s="44"/>
      <c r="O196" s="46"/>
      <c r="P196" s="44"/>
      <c r="Q196" s="46"/>
      <c r="R196" s="44"/>
      <c r="S196" s="45"/>
      <c r="T196" s="44"/>
      <c r="U196" s="44"/>
      <c r="V196" s="47"/>
      <c r="W196" s="48" t="str">
        <f aca="false">IF(V196="","",IFERROR(V196/O196,""))</f>
        <v/>
      </c>
      <c r="X196" s="44"/>
      <c r="Y196" s="46"/>
      <c r="Z196" s="49"/>
      <c r="AA196" s="44"/>
      <c r="AB196" s="50" t="str">
        <f aca="false">IFERROR(INDEX(TABLA_IVA!$C$3:$C$6,MATCH(AA196,TABLA_IVA!$A$3:$A$6,0)),"")</f>
        <v/>
      </c>
      <c r="AC196" s="47"/>
      <c r="AD196" s="44"/>
      <c r="AE196" s="51"/>
      <c r="AF196" s="52" t="str">
        <f aca="false">IF(OR(AC196="",AE196="",AB196=""),"",IFERROR(AC196/(1-AE196)*(1+AB196),""))</f>
        <v/>
      </c>
      <c r="AG196" s="47"/>
      <c r="AH196" s="52" t="str">
        <f aca="false">IF(AD196="FIJO",IF(AG196="","",AG196),IF(AF196&lt;&gt;"",AF196,IF(AG196="","",AG196)))</f>
        <v/>
      </c>
      <c r="AI196" s="52" t="str">
        <f aca="false">IF(OR(AH196="",AB196=""),"",IFERROR(AH196/(1+AB196),""))</f>
        <v/>
      </c>
      <c r="AJ196" s="50" t="str">
        <f aca="false">IF(OR(AI196="",AC196=""),"",IFERROR((AI196-AC196)/AI196,""))</f>
        <v/>
      </c>
      <c r="AK196" s="53" t="str">
        <f aca="false">IF(OR(AJ196="",AE196=""),"",AJ196-AE196)</f>
        <v/>
      </c>
      <c r="AL196" s="54" t="str">
        <f aca="false">IF(OR(AH196="",AF196=""),"",AH196-AF196)</f>
        <v/>
      </c>
      <c r="AM196" s="55" t="str">
        <f aca="false">IF(OR(A196="",K196&lt;&gt;"SI"),"",IF(AE196="","Sin objetivo",IF(AJ196="","Faltan datos",IF(AJ196&lt;0,"PÉRDIDA",IF(AK196&lt;-UMB_CRITICO,"MUY POR DEBAJO",IF(AK196&lt;-UMB_BAJO,"POR DEBAJO",IF(AK196&lt;-UMB_AJUSTADO,"AJUSTADO",IF(AK196&lt;=UMB_ALTO,"EN OBJETIVO","POR ENCIMA"))))))))</f>
        <v/>
      </c>
      <c r="AN196" s="44"/>
      <c r="AO196" s="44"/>
      <c r="AP196" s="46"/>
      <c r="AQ196" s="46"/>
      <c r="AR196" s="46"/>
      <c r="AS196" s="44"/>
      <c r="AT196" s="44"/>
      <c r="AU196" s="44"/>
      <c r="AV196" s="44"/>
      <c r="AW196" s="44"/>
      <c r="AX196" s="45"/>
      <c r="AY196" s="44"/>
      <c r="AZ196" s="56"/>
      <c r="BA196" s="45"/>
    </row>
    <row r="197" customFormat="false" ht="15" hidden="false" customHeight="false" outlineLevel="0" collapsed="false">
      <c r="A197" s="44"/>
      <c r="B197" s="44"/>
      <c r="C197" s="45"/>
      <c r="D197" s="45"/>
      <c r="E197" s="44"/>
      <c r="F197" s="44"/>
      <c r="G197" s="44"/>
      <c r="H197" s="44"/>
      <c r="I197" s="44"/>
      <c r="J197" s="44"/>
      <c r="K197" s="44"/>
      <c r="L197" s="44"/>
      <c r="M197" s="44"/>
      <c r="N197" s="44"/>
      <c r="O197" s="46"/>
      <c r="P197" s="44"/>
      <c r="Q197" s="46"/>
      <c r="R197" s="44"/>
      <c r="S197" s="45"/>
      <c r="T197" s="44"/>
      <c r="U197" s="44"/>
      <c r="V197" s="47"/>
      <c r="W197" s="48" t="str">
        <f aca="false">IF(V197="","",IFERROR(V197/O197,""))</f>
        <v/>
      </c>
      <c r="X197" s="44"/>
      <c r="Y197" s="46"/>
      <c r="Z197" s="49"/>
      <c r="AA197" s="44"/>
      <c r="AB197" s="50" t="str">
        <f aca="false">IFERROR(INDEX(TABLA_IVA!$C$3:$C$6,MATCH(AA197,TABLA_IVA!$A$3:$A$6,0)),"")</f>
        <v/>
      </c>
      <c r="AC197" s="47"/>
      <c r="AD197" s="44"/>
      <c r="AE197" s="51"/>
      <c r="AF197" s="52" t="str">
        <f aca="false">IF(OR(AC197="",AE197="",AB197=""),"",IFERROR(AC197/(1-AE197)*(1+AB197),""))</f>
        <v/>
      </c>
      <c r="AG197" s="47"/>
      <c r="AH197" s="52" t="str">
        <f aca="false">IF(AD197="FIJO",IF(AG197="","",AG197),IF(AF197&lt;&gt;"",AF197,IF(AG197="","",AG197)))</f>
        <v/>
      </c>
      <c r="AI197" s="52" t="str">
        <f aca="false">IF(OR(AH197="",AB197=""),"",IFERROR(AH197/(1+AB197),""))</f>
        <v/>
      </c>
      <c r="AJ197" s="50" t="str">
        <f aca="false">IF(OR(AI197="",AC197=""),"",IFERROR((AI197-AC197)/AI197,""))</f>
        <v/>
      </c>
      <c r="AK197" s="53" t="str">
        <f aca="false">IF(OR(AJ197="",AE197=""),"",AJ197-AE197)</f>
        <v/>
      </c>
      <c r="AL197" s="54" t="str">
        <f aca="false">IF(OR(AH197="",AF197=""),"",AH197-AF197)</f>
        <v/>
      </c>
      <c r="AM197" s="55" t="str">
        <f aca="false">IF(OR(A197="",K197&lt;&gt;"SI"),"",IF(AE197="","Sin objetivo",IF(AJ197="","Faltan datos",IF(AJ197&lt;0,"PÉRDIDA",IF(AK197&lt;-UMB_CRITICO,"MUY POR DEBAJO",IF(AK197&lt;-UMB_BAJO,"POR DEBAJO",IF(AK197&lt;-UMB_AJUSTADO,"AJUSTADO",IF(AK197&lt;=UMB_ALTO,"EN OBJETIVO","POR ENCIMA"))))))))</f>
        <v/>
      </c>
      <c r="AN197" s="44"/>
      <c r="AO197" s="44"/>
      <c r="AP197" s="46"/>
      <c r="AQ197" s="46"/>
      <c r="AR197" s="46"/>
      <c r="AS197" s="44"/>
      <c r="AT197" s="44"/>
      <c r="AU197" s="44"/>
      <c r="AV197" s="44"/>
      <c r="AW197" s="44"/>
      <c r="AX197" s="45"/>
      <c r="AY197" s="44"/>
      <c r="AZ197" s="56"/>
      <c r="BA197" s="45"/>
    </row>
    <row r="198" customFormat="false" ht="15" hidden="false" customHeight="false" outlineLevel="0" collapsed="false">
      <c r="A198" s="44"/>
      <c r="B198" s="44"/>
      <c r="C198" s="45"/>
      <c r="D198" s="45"/>
      <c r="E198" s="44"/>
      <c r="F198" s="44"/>
      <c r="G198" s="44"/>
      <c r="H198" s="44"/>
      <c r="I198" s="44"/>
      <c r="J198" s="44"/>
      <c r="K198" s="44"/>
      <c r="L198" s="44"/>
      <c r="M198" s="44"/>
      <c r="N198" s="44"/>
      <c r="O198" s="46"/>
      <c r="P198" s="44"/>
      <c r="Q198" s="46"/>
      <c r="R198" s="44"/>
      <c r="S198" s="45"/>
      <c r="T198" s="44"/>
      <c r="U198" s="44"/>
      <c r="V198" s="47"/>
      <c r="W198" s="48" t="str">
        <f aca="false">IF(V198="","",IFERROR(V198/O198,""))</f>
        <v/>
      </c>
      <c r="X198" s="44"/>
      <c r="Y198" s="46"/>
      <c r="Z198" s="49"/>
      <c r="AA198" s="44"/>
      <c r="AB198" s="50" t="str">
        <f aca="false">IFERROR(INDEX(TABLA_IVA!$C$3:$C$6,MATCH(AA198,TABLA_IVA!$A$3:$A$6,0)),"")</f>
        <v/>
      </c>
      <c r="AC198" s="47"/>
      <c r="AD198" s="44"/>
      <c r="AE198" s="51"/>
      <c r="AF198" s="52" t="str">
        <f aca="false">IF(OR(AC198="",AE198="",AB198=""),"",IFERROR(AC198/(1-AE198)*(1+AB198),""))</f>
        <v/>
      </c>
      <c r="AG198" s="47"/>
      <c r="AH198" s="52" t="str">
        <f aca="false">IF(AD198="FIJO",IF(AG198="","",AG198),IF(AF198&lt;&gt;"",AF198,IF(AG198="","",AG198)))</f>
        <v/>
      </c>
      <c r="AI198" s="52" t="str">
        <f aca="false">IF(OR(AH198="",AB198=""),"",IFERROR(AH198/(1+AB198),""))</f>
        <v/>
      </c>
      <c r="AJ198" s="50" t="str">
        <f aca="false">IF(OR(AI198="",AC198=""),"",IFERROR((AI198-AC198)/AI198,""))</f>
        <v/>
      </c>
      <c r="AK198" s="53" t="str">
        <f aca="false">IF(OR(AJ198="",AE198=""),"",AJ198-AE198)</f>
        <v/>
      </c>
      <c r="AL198" s="54" t="str">
        <f aca="false">IF(OR(AH198="",AF198=""),"",AH198-AF198)</f>
        <v/>
      </c>
      <c r="AM198" s="55" t="str">
        <f aca="false">IF(OR(A198="",K198&lt;&gt;"SI"),"",IF(AE198="","Sin objetivo",IF(AJ198="","Faltan datos",IF(AJ198&lt;0,"PÉRDIDA",IF(AK198&lt;-UMB_CRITICO,"MUY POR DEBAJO",IF(AK198&lt;-UMB_BAJO,"POR DEBAJO",IF(AK198&lt;-UMB_AJUSTADO,"AJUSTADO",IF(AK198&lt;=UMB_ALTO,"EN OBJETIVO","POR ENCIMA"))))))))</f>
        <v/>
      </c>
      <c r="AN198" s="44"/>
      <c r="AO198" s="44"/>
      <c r="AP198" s="46"/>
      <c r="AQ198" s="46"/>
      <c r="AR198" s="46"/>
      <c r="AS198" s="44"/>
      <c r="AT198" s="44"/>
      <c r="AU198" s="44"/>
      <c r="AV198" s="44"/>
      <c r="AW198" s="44"/>
      <c r="AX198" s="45"/>
      <c r="AY198" s="44"/>
      <c r="AZ198" s="56"/>
      <c r="BA198" s="45"/>
    </row>
    <row r="199" customFormat="false" ht="15" hidden="false" customHeight="false" outlineLevel="0" collapsed="false">
      <c r="A199" s="44"/>
      <c r="B199" s="44"/>
      <c r="C199" s="45"/>
      <c r="D199" s="45"/>
      <c r="E199" s="44"/>
      <c r="F199" s="44"/>
      <c r="G199" s="44"/>
      <c r="H199" s="44"/>
      <c r="I199" s="44"/>
      <c r="J199" s="44"/>
      <c r="K199" s="44"/>
      <c r="L199" s="44"/>
      <c r="M199" s="44"/>
      <c r="N199" s="44"/>
      <c r="O199" s="46"/>
      <c r="P199" s="44"/>
      <c r="Q199" s="46"/>
      <c r="R199" s="44"/>
      <c r="S199" s="45"/>
      <c r="T199" s="44"/>
      <c r="U199" s="44"/>
      <c r="V199" s="47"/>
      <c r="W199" s="48" t="str">
        <f aca="false">IF(V199="","",IFERROR(V199/O199,""))</f>
        <v/>
      </c>
      <c r="X199" s="44"/>
      <c r="Y199" s="46"/>
      <c r="Z199" s="49"/>
      <c r="AA199" s="44"/>
      <c r="AB199" s="50" t="str">
        <f aca="false">IFERROR(INDEX(TABLA_IVA!$C$3:$C$6,MATCH(AA199,TABLA_IVA!$A$3:$A$6,0)),"")</f>
        <v/>
      </c>
      <c r="AC199" s="47"/>
      <c r="AD199" s="44"/>
      <c r="AE199" s="51"/>
      <c r="AF199" s="52" t="str">
        <f aca="false">IF(OR(AC199="",AE199="",AB199=""),"",IFERROR(AC199/(1-AE199)*(1+AB199),""))</f>
        <v/>
      </c>
      <c r="AG199" s="47"/>
      <c r="AH199" s="52" t="str">
        <f aca="false">IF(AD199="FIJO",IF(AG199="","",AG199),IF(AF199&lt;&gt;"",AF199,IF(AG199="","",AG199)))</f>
        <v/>
      </c>
      <c r="AI199" s="52" t="str">
        <f aca="false">IF(OR(AH199="",AB199=""),"",IFERROR(AH199/(1+AB199),""))</f>
        <v/>
      </c>
      <c r="AJ199" s="50" t="str">
        <f aca="false">IF(OR(AI199="",AC199=""),"",IFERROR((AI199-AC199)/AI199,""))</f>
        <v/>
      </c>
      <c r="AK199" s="53" t="str">
        <f aca="false">IF(OR(AJ199="",AE199=""),"",AJ199-AE199)</f>
        <v/>
      </c>
      <c r="AL199" s="54" t="str">
        <f aca="false">IF(OR(AH199="",AF199=""),"",AH199-AF199)</f>
        <v/>
      </c>
      <c r="AM199" s="55" t="str">
        <f aca="false">IF(OR(A199="",K199&lt;&gt;"SI"),"",IF(AE199="","Sin objetivo",IF(AJ199="","Faltan datos",IF(AJ199&lt;0,"PÉRDIDA",IF(AK199&lt;-UMB_CRITICO,"MUY POR DEBAJO",IF(AK199&lt;-UMB_BAJO,"POR DEBAJO",IF(AK199&lt;-UMB_AJUSTADO,"AJUSTADO",IF(AK199&lt;=UMB_ALTO,"EN OBJETIVO","POR ENCIMA"))))))))</f>
        <v/>
      </c>
      <c r="AN199" s="44"/>
      <c r="AO199" s="44"/>
      <c r="AP199" s="46"/>
      <c r="AQ199" s="46"/>
      <c r="AR199" s="46"/>
      <c r="AS199" s="44"/>
      <c r="AT199" s="44"/>
      <c r="AU199" s="44"/>
      <c r="AV199" s="44"/>
      <c r="AW199" s="44"/>
      <c r="AX199" s="45"/>
      <c r="AY199" s="44"/>
      <c r="AZ199" s="56"/>
      <c r="BA199" s="45"/>
    </row>
    <row r="200" customFormat="false" ht="15" hidden="false" customHeight="false" outlineLevel="0" collapsed="false">
      <c r="A200" s="44"/>
      <c r="B200" s="44"/>
      <c r="C200" s="45"/>
      <c r="D200" s="45"/>
      <c r="E200" s="44"/>
      <c r="F200" s="44"/>
      <c r="G200" s="44"/>
      <c r="H200" s="44"/>
      <c r="I200" s="44"/>
      <c r="J200" s="44"/>
      <c r="K200" s="44"/>
      <c r="L200" s="44"/>
      <c r="M200" s="44"/>
      <c r="N200" s="44"/>
      <c r="O200" s="46"/>
      <c r="P200" s="44"/>
      <c r="Q200" s="46"/>
      <c r="R200" s="44"/>
      <c r="S200" s="45"/>
      <c r="T200" s="44"/>
      <c r="U200" s="44"/>
      <c r="V200" s="47"/>
      <c r="W200" s="48" t="str">
        <f aca="false">IF(V200="","",IFERROR(V200/O200,""))</f>
        <v/>
      </c>
      <c r="X200" s="44"/>
      <c r="Y200" s="46"/>
      <c r="Z200" s="49"/>
      <c r="AA200" s="44"/>
      <c r="AB200" s="50" t="str">
        <f aca="false">IFERROR(INDEX(TABLA_IVA!$C$3:$C$6,MATCH(AA200,TABLA_IVA!$A$3:$A$6,0)),"")</f>
        <v/>
      </c>
      <c r="AC200" s="47"/>
      <c r="AD200" s="44"/>
      <c r="AE200" s="51"/>
      <c r="AF200" s="52" t="str">
        <f aca="false">IF(OR(AC200="",AE200="",AB200=""),"",IFERROR(AC200/(1-AE200)*(1+AB200),""))</f>
        <v/>
      </c>
      <c r="AG200" s="47"/>
      <c r="AH200" s="52" t="str">
        <f aca="false">IF(AD200="FIJO",IF(AG200="","",AG200),IF(AF200&lt;&gt;"",AF200,IF(AG200="","",AG200)))</f>
        <v/>
      </c>
      <c r="AI200" s="52" t="str">
        <f aca="false">IF(OR(AH200="",AB200=""),"",IFERROR(AH200/(1+AB200),""))</f>
        <v/>
      </c>
      <c r="AJ200" s="50" t="str">
        <f aca="false">IF(OR(AI200="",AC200=""),"",IFERROR((AI200-AC200)/AI200,""))</f>
        <v/>
      </c>
      <c r="AK200" s="53" t="str">
        <f aca="false">IF(OR(AJ200="",AE200=""),"",AJ200-AE200)</f>
        <v/>
      </c>
      <c r="AL200" s="54" t="str">
        <f aca="false">IF(OR(AH200="",AF200=""),"",AH200-AF200)</f>
        <v/>
      </c>
      <c r="AM200" s="55" t="str">
        <f aca="false">IF(OR(A200="",K200&lt;&gt;"SI"),"",IF(AE200="","Sin objetivo",IF(AJ200="","Faltan datos",IF(AJ200&lt;0,"PÉRDIDA",IF(AK200&lt;-UMB_CRITICO,"MUY POR DEBAJO",IF(AK200&lt;-UMB_BAJO,"POR DEBAJO",IF(AK200&lt;-UMB_AJUSTADO,"AJUSTADO",IF(AK200&lt;=UMB_ALTO,"EN OBJETIVO","POR ENCIMA"))))))))</f>
        <v/>
      </c>
      <c r="AN200" s="44"/>
      <c r="AO200" s="44"/>
      <c r="AP200" s="46"/>
      <c r="AQ200" s="46"/>
      <c r="AR200" s="46"/>
      <c r="AS200" s="44"/>
      <c r="AT200" s="44"/>
      <c r="AU200" s="44"/>
      <c r="AV200" s="44"/>
      <c r="AW200" s="44"/>
      <c r="AX200" s="45"/>
      <c r="AY200" s="44"/>
      <c r="AZ200" s="56"/>
      <c r="BA200" s="45"/>
    </row>
    <row r="201" customFormat="false" ht="15" hidden="false" customHeight="false" outlineLevel="0" collapsed="false">
      <c r="A201" s="44"/>
      <c r="B201" s="44"/>
      <c r="C201" s="45"/>
      <c r="D201" s="45"/>
      <c r="E201" s="44"/>
      <c r="F201" s="44"/>
      <c r="G201" s="44"/>
      <c r="H201" s="44"/>
      <c r="I201" s="44"/>
      <c r="J201" s="44"/>
      <c r="K201" s="44"/>
      <c r="L201" s="44"/>
      <c r="M201" s="44"/>
      <c r="N201" s="44"/>
      <c r="O201" s="46"/>
      <c r="P201" s="44"/>
      <c r="Q201" s="46"/>
      <c r="R201" s="44"/>
      <c r="S201" s="45"/>
      <c r="T201" s="44"/>
      <c r="U201" s="44"/>
      <c r="V201" s="47"/>
      <c r="W201" s="48" t="str">
        <f aca="false">IF(V201="","",IFERROR(V201/O201,""))</f>
        <v/>
      </c>
      <c r="X201" s="44"/>
      <c r="Y201" s="46"/>
      <c r="Z201" s="49"/>
      <c r="AA201" s="44"/>
      <c r="AB201" s="50" t="str">
        <f aca="false">IFERROR(INDEX(TABLA_IVA!$C$3:$C$6,MATCH(AA201,TABLA_IVA!$A$3:$A$6,0)),"")</f>
        <v/>
      </c>
      <c r="AC201" s="47"/>
      <c r="AD201" s="44"/>
      <c r="AE201" s="51"/>
      <c r="AF201" s="52" t="str">
        <f aca="false">IF(OR(AC201="",AE201="",AB201=""),"",IFERROR(AC201/(1-AE201)*(1+AB201),""))</f>
        <v/>
      </c>
      <c r="AG201" s="47"/>
      <c r="AH201" s="52" t="str">
        <f aca="false">IF(AD201="FIJO",IF(AG201="","",AG201),IF(AF201&lt;&gt;"",AF201,IF(AG201="","",AG201)))</f>
        <v/>
      </c>
      <c r="AI201" s="52" t="str">
        <f aca="false">IF(OR(AH201="",AB201=""),"",IFERROR(AH201/(1+AB201),""))</f>
        <v/>
      </c>
      <c r="AJ201" s="50" t="str">
        <f aca="false">IF(OR(AI201="",AC201=""),"",IFERROR((AI201-AC201)/AI201,""))</f>
        <v/>
      </c>
      <c r="AK201" s="53" t="str">
        <f aca="false">IF(OR(AJ201="",AE201=""),"",AJ201-AE201)</f>
        <v/>
      </c>
      <c r="AL201" s="54" t="str">
        <f aca="false">IF(OR(AH201="",AF201=""),"",AH201-AF201)</f>
        <v/>
      </c>
      <c r="AM201" s="55" t="str">
        <f aca="false">IF(OR(A201="",K201&lt;&gt;"SI"),"",IF(AE201="","Sin objetivo",IF(AJ201="","Faltan datos",IF(AJ201&lt;0,"PÉRDIDA",IF(AK201&lt;-UMB_CRITICO,"MUY POR DEBAJO",IF(AK201&lt;-UMB_BAJO,"POR DEBAJO",IF(AK201&lt;-UMB_AJUSTADO,"AJUSTADO",IF(AK201&lt;=UMB_ALTO,"EN OBJETIVO","POR ENCIMA"))))))))</f>
        <v/>
      </c>
      <c r="AN201" s="44"/>
      <c r="AO201" s="44"/>
      <c r="AP201" s="46"/>
      <c r="AQ201" s="46"/>
      <c r="AR201" s="46"/>
      <c r="AS201" s="44"/>
      <c r="AT201" s="44"/>
      <c r="AU201" s="44"/>
      <c r="AV201" s="44"/>
      <c r="AW201" s="44"/>
      <c r="AX201" s="45"/>
      <c r="AY201" s="44"/>
      <c r="AZ201" s="56"/>
      <c r="BA201" s="45"/>
    </row>
    <row r="202" customFormat="false" ht="15" hidden="false" customHeight="false" outlineLevel="0" collapsed="false">
      <c r="A202" s="44"/>
      <c r="B202" s="44"/>
      <c r="C202" s="45"/>
      <c r="D202" s="45"/>
      <c r="E202" s="44"/>
      <c r="F202" s="44"/>
      <c r="G202" s="44"/>
      <c r="H202" s="44"/>
      <c r="I202" s="44"/>
      <c r="J202" s="44"/>
      <c r="K202" s="44"/>
      <c r="L202" s="44"/>
      <c r="M202" s="44"/>
      <c r="N202" s="44"/>
      <c r="O202" s="46"/>
      <c r="P202" s="44"/>
      <c r="Q202" s="46"/>
      <c r="R202" s="44"/>
      <c r="S202" s="45"/>
      <c r="T202" s="44"/>
      <c r="U202" s="44"/>
      <c r="V202" s="47"/>
      <c r="W202" s="48" t="str">
        <f aca="false">IF(V202="","",IFERROR(V202/O202,""))</f>
        <v/>
      </c>
      <c r="X202" s="44"/>
      <c r="Y202" s="46"/>
      <c r="Z202" s="49"/>
      <c r="AA202" s="44"/>
      <c r="AB202" s="50" t="str">
        <f aca="false">IFERROR(INDEX(TABLA_IVA!$C$3:$C$6,MATCH(AA202,TABLA_IVA!$A$3:$A$6,0)),"")</f>
        <v/>
      </c>
      <c r="AC202" s="47"/>
      <c r="AD202" s="44"/>
      <c r="AE202" s="51"/>
      <c r="AF202" s="52" t="str">
        <f aca="false">IF(OR(AC202="",AE202="",AB202=""),"",IFERROR(AC202/(1-AE202)*(1+AB202),""))</f>
        <v/>
      </c>
      <c r="AG202" s="47"/>
      <c r="AH202" s="52" t="str">
        <f aca="false">IF(AD202="FIJO",IF(AG202="","",AG202),IF(AF202&lt;&gt;"",AF202,IF(AG202="","",AG202)))</f>
        <v/>
      </c>
      <c r="AI202" s="52" t="str">
        <f aca="false">IF(OR(AH202="",AB202=""),"",IFERROR(AH202/(1+AB202),""))</f>
        <v/>
      </c>
      <c r="AJ202" s="50" t="str">
        <f aca="false">IF(OR(AI202="",AC202=""),"",IFERROR((AI202-AC202)/AI202,""))</f>
        <v/>
      </c>
      <c r="AK202" s="53" t="str">
        <f aca="false">IF(OR(AJ202="",AE202=""),"",AJ202-AE202)</f>
        <v/>
      </c>
      <c r="AL202" s="54" t="str">
        <f aca="false">IF(OR(AH202="",AF202=""),"",AH202-AF202)</f>
        <v/>
      </c>
      <c r="AM202" s="55" t="str">
        <f aca="false">IF(OR(A202="",K202&lt;&gt;"SI"),"",IF(AE202="","Sin objetivo",IF(AJ202="","Faltan datos",IF(AJ202&lt;0,"PÉRDIDA",IF(AK202&lt;-UMB_CRITICO,"MUY POR DEBAJO",IF(AK202&lt;-UMB_BAJO,"POR DEBAJO",IF(AK202&lt;-UMB_AJUSTADO,"AJUSTADO",IF(AK202&lt;=UMB_ALTO,"EN OBJETIVO","POR ENCIMA"))))))))</f>
        <v/>
      </c>
      <c r="AN202" s="44"/>
      <c r="AO202" s="44"/>
      <c r="AP202" s="46"/>
      <c r="AQ202" s="46"/>
      <c r="AR202" s="46"/>
      <c r="AS202" s="44"/>
      <c r="AT202" s="44"/>
      <c r="AU202" s="44"/>
      <c r="AV202" s="44"/>
      <c r="AW202" s="44"/>
      <c r="AX202" s="45"/>
      <c r="AY202" s="44"/>
      <c r="AZ202" s="56"/>
      <c r="BA202" s="45"/>
    </row>
    <row r="203" customFormat="false" ht="15" hidden="false" customHeight="false" outlineLevel="0" collapsed="false">
      <c r="A203" s="44"/>
      <c r="B203" s="44"/>
      <c r="C203" s="45"/>
      <c r="D203" s="45"/>
      <c r="E203" s="44"/>
      <c r="F203" s="44"/>
      <c r="G203" s="44"/>
      <c r="H203" s="44"/>
      <c r="I203" s="44"/>
      <c r="J203" s="44"/>
      <c r="K203" s="44"/>
      <c r="L203" s="44"/>
      <c r="M203" s="44"/>
      <c r="N203" s="44"/>
      <c r="O203" s="46"/>
      <c r="P203" s="44"/>
      <c r="Q203" s="46"/>
      <c r="R203" s="44"/>
      <c r="S203" s="45"/>
      <c r="T203" s="44"/>
      <c r="U203" s="44"/>
      <c r="V203" s="47"/>
      <c r="W203" s="48" t="str">
        <f aca="false">IF(V203="","",IFERROR(V203/O203,""))</f>
        <v/>
      </c>
      <c r="X203" s="44"/>
      <c r="Y203" s="46"/>
      <c r="Z203" s="49"/>
      <c r="AA203" s="44"/>
      <c r="AB203" s="50" t="str">
        <f aca="false">IFERROR(INDEX(TABLA_IVA!$C$3:$C$6,MATCH(AA203,TABLA_IVA!$A$3:$A$6,0)),"")</f>
        <v/>
      </c>
      <c r="AC203" s="47"/>
      <c r="AD203" s="44"/>
      <c r="AE203" s="51"/>
      <c r="AF203" s="52" t="str">
        <f aca="false">IF(OR(AC203="",AE203="",AB203=""),"",IFERROR(AC203/(1-AE203)*(1+AB203),""))</f>
        <v/>
      </c>
      <c r="AG203" s="47"/>
      <c r="AH203" s="52" t="str">
        <f aca="false">IF(AD203="FIJO",IF(AG203="","",AG203),IF(AF203&lt;&gt;"",AF203,IF(AG203="","",AG203)))</f>
        <v/>
      </c>
      <c r="AI203" s="52" t="str">
        <f aca="false">IF(OR(AH203="",AB203=""),"",IFERROR(AH203/(1+AB203),""))</f>
        <v/>
      </c>
      <c r="AJ203" s="50" t="str">
        <f aca="false">IF(OR(AI203="",AC203=""),"",IFERROR((AI203-AC203)/AI203,""))</f>
        <v/>
      </c>
      <c r="AK203" s="53" t="str">
        <f aca="false">IF(OR(AJ203="",AE203=""),"",AJ203-AE203)</f>
        <v/>
      </c>
      <c r="AL203" s="54" t="str">
        <f aca="false">IF(OR(AH203="",AF203=""),"",AH203-AF203)</f>
        <v/>
      </c>
      <c r="AM203" s="55" t="str">
        <f aca="false">IF(OR(A203="",K203&lt;&gt;"SI"),"",IF(AE203="","Sin objetivo",IF(AJ203="","Faltan datos",IF(AJ203&lt;0,"PÉRDIDA",IF(AK203&lt;-UMB_CRITICO,"MUY POR DEBAJO",IF(AK203&lt;-UMB_BAJO,"POR DEBAJO",IF(AK203&lt;-UMB_AJUSTADO,"AJUSTADO",IF(AK203&lt;=UMB_ALTO,"EN OBJETIVO","POR ENCIMA"))))))))</f>
        <v/>
      </c>
      <c r="AN203" s="44"/>
      <c r="AO203" s="44"/>
      <c r="AP203" s="46"/>
      <c r="AQ203" s="46"/>
      <c r="AR203" s="46"/>
      <c r="AS203" s="44"/>
      <c r="AT203" s="44"/>
      <c r="AU203" s="44"/>
      <c r="AV203" s="44"/>
      <c r="AW203" s="44"/>
      <c r="AX203" s="45"/>
      <c r="AY203" s="44"/>
      <c r="AZ203" s="56"/>
      <c r="BA203" s="45"/>
    </row>
    <row r="204" customFormat="false" ht="15" hidden="false" customHeight="false" outlineLevel="0" collapsed="false">
      <c r="A204" s="44"/>
      <c r="B204" s="44"/>
      <c r="C204" s="45"/>
      <c r="D204" s="45"/>
      <c r="E204" s="44"/>
      <c r="F204" s="44"/>
      <c r="G204" s="44"/>
      <c r="H204" s="44"/>
      <c r="I204" s="44"/>
      <c r="J204" s="44"/>
      <c r="K204" s="44"/>
      <c r="L204" s="44"/>
      <c r="M204" s="44"/>
      <c r="N204" s="44"/>
      <c r="O204" s="46"/>
      <c r="P204" s="44"/>
      <c r="Q204" s="46"/>
      <c r="R204" s="44"/>
      <c r="S204" s="45"/>
      <c r="T204" s="44"/>
      <c r="U204" s="44"/>
      <c r="V204" s="47"/>
      <c r="W204" s="48" t="str">
        <f aca="false">IF(V204="","",IFERROR(V204/O204,""))</f>
        <v/>
      </c>
      <c r="X204" s="44"/>
      <c r="Y204" s="46"/>
      <c r="Z204" s="49"/>
      <c r="AA204" s="44"/>
      <c r="AB204" s="50" t="str">
        <f aca="false">IFERROR(INDEX(TABLA_IVA!$C$3:$C$6,MATCH(AA204,TABLA_IVA!$A$3:$A$6,0)),"")</f>
        <v/>
      </c>
      <c r="AC204" s="47"/>
      <c r="AD204" s="44"/>
      <c r="AE204" s="51"/>
      <c r="AF204" s="52" t="str">
        <f aca="false">IF(OR(AC204="",AE204="",AB204=""),"",IFERROR(AC204/(1-AE204)*(1+AB204),""))</f>
        <v/>
      </c>
      <c r="AG204" s="47"/>
      <c r="AH204" s="52" t="str">
        <f aca="false">IF(AD204="FIJO",IF(AG204="","",AG204),IF(AF204&lt;&gt;"",AF204,IF(AG204="","",AG204)))</f>
        <v/>
      </c>
      <c r="AI204" s="52" t="str">
        <f aca="false">IF(OR(AH204="",AB204=""),"",IFERROR(AH204/(1+AB204),""))</f>
        <v/>
      </c>
      <c r="AJ204" s="50" t="str">
        <f aca="false">IF(OR(AI204="",AC204=""),"",IFERROR((AI204-AC204)/AI204,""))</f>
        <v/>
      </c>
      <c r="AK204" s="53" t="str">
        <f aca="false">IF(OR(AJ204="",AE204=""),"",AJ204-AE204)</f>
        <v/>
      </c>
      <c r="AL204" s="54" t="str">
        <f aca="false">IF(OR(AH204="",AF204=""),"",AH204-AF204)</f>
        <v/>
      </c>
      <c r="AM204" s="55" t="str">
        <f aca="false">IF(OR(A204="",K204&lt;&gt;"SI"),"",IF(AE204="","Sin objetivo",IF(AJ204="","Faltan datos",IF(AJ204&lt;0,"PÉRDIDA",IF(AK204&lt;-UMB_CRITICO,"MUY POR DEBAJO",IF(AK204&lt;-UMB_BAJO,"POR DEBAJO",IF(AK204&lt;-UMB_AJUSTADO,"AJUSTADO",IF(AK204&lt;=UMB_ALTO,"EN OBJETIVO","POR ENCIMA"))))))))</f>
        <v/>
      </c>
      <c r="AN204" s="44"/>
      <c r="AO204" s="44"/>
      <c r="AP204" s="46"/>
      <c r="AQ204" s="46"/>
      <c r="AR204" s="46"/>
      <c r="AS204" s="44"/>
      <c r="AT204" s="44"/>
      <c r="AU204" s="44"/>
      <c r="AV204" s="44"/>
      <c r="AW204" s="44"/>
      <c r="AX204" s="45"/>
      <c r="AY204" s="44"/>
      <c r="AZ204" s="56"/>
      <c r="BA204" s="45"/>
    </row>
    <row r="205" customFormat="false" ht="15" hidden="false" customHeight="false" outlineLevel="0" collapsed="false">
      <c r="A205" s="44"/>
      <c r="B205" s="44"/>
      <c r="C205" s="45"/>
      <c r="D205" s="45"/>
      <c r="E205" s="44"/>
      <c r="F205" s="44"/>
      <c r="G205" s="44"/>
      <c r="H205" s="44"/>
      <c r="I205" s="44"/>
      <c r="J205" s="44"/>
      <c r="K205" s="44"/>
      <c r="L205" s="44"/>
      <c r="M205" s="44"/>
      <c r="N205" s="44"/>
      <c r="O205" s="46"/>
      <c r="P205" s="44"/>
      <c r="Q205" s="46"/>
      <c r="R205" s="44"/>
      <c r="S205" s="45"/>
      <c r="T205" s="44"/>
      <c r="U205" s="44"/>
      <c r="V205" s="47"/>
      <c r="W205" s="48" t="str">
        <f aca="false">IF(V205="","",IFERROR(V205/O205,""))</f>
        <v/>
      </c>
      <c r="X205" s="44"/>
      <c r="Y205" s="46"/>
      <c r="Z205" s="49"/>
      <c r="AA205" s="44"/>
      <c r="AB205" s="50" t="str">
        <f aca="false">IFERROR(INDEX(TABLA_IVA!$C$3:$C$6,MATCH(AA205,TABLA_IVA!$A$3:$A$6,0)),"")</f>
        <v/>
      </c>
      <c r="AC205" s="47"/>
      <c r="AD205" s="44"/>
      <c r="AE205" s="51"/>
      <c r="AF205" s="52" t="str">
        <f aca="false">IF(OR(AC205="",AE205="",AB205=""),"",IFERROR(AC205/(1-AE205)*(1+AB205),""))</f>
        <v/>
      </c>
      <c r="AG205" s="47"/>
      <c r="AH205" s="52" t="str">
        <f aca="false">IF(AD205="FIJO",IF(AG205="","",AG205),IF(AF205&lt;&gt;"",AF205,IF(AG205="","",AG205)))</f>
        <v/>
      </c>
      <c r="AI205" s="52" t="str">
        <f aca="false">IF(OR(AH205="",AB205=""),"",IFERROR(AH205/(1+AB205),""))</f>
        <v/>
      </c>
      <c r="AJ205" s="50" t="str">
        <f aca="false">IF(OR(AI205="",AC205=""),"",IFERROR((AI205-AC205)/AI205,""))</f>
        <v/>
      </c>
      <c r="AK205" s="53" t="str">
        <f aca="false">IF(OR(AJ205="",AE205=""),"",AJ205-AE205)</f>
        <v/>
      </c>
      <c r="AL205" s="54" t="str">
        <f aca="false">IF(OR(AH205="",AF205=""),"",AH205-AF205)</f>
        <v/>
      </c>
      <c r="AM205" s="55" t="str">
        <f aca="false">IF(OR(A205="",K205&lt;&gt;"SI"),"",IF(AE205="","Sin objetivo",IF(AJ205="","Faltan datos",IF(AJ205&lt;0,"PÉRDIDA",IF(AK205&lt;-UMB_CRITICO,"MUY POR DEBAJO",IF(AK205&lt;-UMB_BAJO,"POR DEBAJO",IF(AK205&lt;-UMB_AJUSTADO,"AJUSTADO",IF(AK205&lt;=UMB_ALTO,"EN OBJETIVO","POR ENCIMA"))))))))</f>
        <v/>
      </c>
      <c r="AN205" s="44"/>
      <c r="AO205" s="44"/>
      <c r="AP205" s="46"/>
      <c r="AQ205" s="46"/>
      <c r="AR205" s="46"/>
      <c r="AS205" s="44"/>
      <c r="AT205" s="44"/>
      <c r="AU205" s="44"/>
      <c r="AV205" s="44"/>
      <c r="AW205" s="44"/>
      <c r="AX205" s="45"/>
      <c r="AY205" s="44"/>
      <c r="AZ205" s="56"/>
      <c r="BA205" s="45"/>
    </row>
    <row r="206" customFormat="false" ht="15" hidden="false" customHeight="false" outlineLevel="0" collapsed="false">
      <c r="A206" s="44"/>
      <c r="B206" s="44"/>
      <c r="C206" s="45"/>
      <c r="D206" s="45"/>
      <c r="E206" s="44"/>
      <c r="F206" s="44"/>
      <c r="G206" s="44"/>
      <c r="H206" s="44"/>
      <c r="I206" s="44"/>
      <c r="J206" s="44"/>
      <c r="K206" s="44"/>
      <c r="L206" s="44"/>
      <c r="M206" s="44"/>
      <c r="N206" s="44"/>
      <c r="O206" s="46"/>
      <c r="P206" s="44"/>
      <c r="Q206" s="46"/>
      <c r="R206" s="44"/>
      <c r="S206" s="45"/>
      <c r="T206" s="44"/>
      <c r="U206" s="44"/>
      <c r="V206" s="47"/>
      <c r="W206" s="48" t="str">
        <f aca="false">IF(V206="","",IFERROR(V206/O206,""))</f>
        <v/>
      </c>
      <c r="X206" s="44"/>
      <c r="Y206" s="46"/>
      <c r="Z206" s="49"/>
      <c r="AA206" s="44"/>
      <c r="AB206" s="50" t="str">
        <f aca="false">IFERROR(INDEX(TABLA_IVA!$C$3:$C$6,MATCH(AA206,TABLA_IVA!$A$3:$A$6,0)),"")</f>
        <v/>
      </c>
      <c r="AC206" s="47"/>
      <c r="AD206" s="44"/>
      <c r="AE206" s="51"/>
      <c r="AF206" s="52" t="str">
        <f aca="false">IF(OR(AC206="",AE206="",AB206=""),"",IFERROR(AC206/(1-AE206)*(1+AB206),""))</f>
        <v/>
      </c>
      <c r="AG206" s="47"/>
      <c r="AH206" s="52" t="str">
        <f aca="false">IF(AD206="FIJO",IF(AG206="","",AG206),IF(AF206&lt;&gt;"",AF206,IF(AG206="","",AG206)))</f>
        <v/>
      </c>
      <c r="AI206" s="52" t="str">
        <f aca="false">IF(OR(AH206="",AB206=""),"",IFERROR(AH206/(1+AB206),""))</f>
        <v/>
      </c>
      <c r="AJ206" s="50" t="str">
        <f aca="false">IF(OR(AI206="",AC206=""),"",IFERROR((AI206-AC206)/AI206,""))</f>
        <v/>
      </c>
      <c r="AK206" s="53" t="str">
        <f aca="false">IF(OR(AJ206="",AE206=""),"",AJ206-AE206)</f>
        <v/>
      </c>
      <c r="AL206" s="54" t="str">
        <f aca="false">IF(OR(AH206="",AF206=""),"",AH206-AF206)</f>
        <v/>
      </c>
      <c r="AM206" s="55" t="str">
        <f aca="false">IF(OR(A206="",K206&lt;&gt;"SI"),"",IF(AE206="","Sin objetivo",IF(AJ206="","Faltan datos",IF(AJ206&lt;0,"PÉRDIDA",IF(AK206&lt;-UMB_CRITICO,"MUY POR DEBAJO",IF(AK206&lt;-UMB_BAJO,"POR DEBAJO",IF(AK206&lt;-UMB_AJUSTADO,"AJUSTADO",IF(AK206&lt;=UMB_ALTO,"EN OBJETIVO","POR ENCIMA"))))))))</f>
        <v/>
      </c>
      <c r="AN206" s="44"/>
      <c r="AO206" s="44"/>
      <c r="AP206" s="46"/>
      <c r="AQ206" s="46"/>
      <c r="AR206" s="46"/>
      <c r="AS206" s="44"/>
      <c r="AT206" s="44"/>
      <c r="AU206" s="44"/>
      <c r="AV206" s="44"/>
      <c r="AW206" s="44"/>
      <c r="AX206" s="45"/>
      <c r="AY206" s="44"/>
      <c r="AZ206" s="56"/>
      <c r="BA206" s="45"/>
    </row>
    <row r="207" customFormat="false" ht="15" hidden="false" customHeight="false" outlineLevel="0" collapsed="false">
      <c r="A207" s="44"/>
      <c r="B207" s="44"/>
      <c r="C207" s="45"/>
      <c r="D207" s="45"/>
      <c r="E207" s="44"/>
      <c r="F207" s="44"/>
      <c r="G207" s="44"/>
      <c r="H207" s="44"/>
      <c r="I207" s="44"/>
      <c r="J207" s="44"/>
      <c r="K207" s="44"/>
      <c r="L207" s="44"/>
      <c r="M207" s="44"/>
      <c r="N207" s="44"/>
      <c r="O207" s="46"/>
      <c r="P207" s="44"/>
      <c r="Q207" s="46"/>
      <c r="R207" s="44"/>
      <c r="S207" s="45"/>
      <c r="T207" s="44"/>
      <c r="U207" s="44"/>
      <c r="V207" s="47"/>
      <c r="W207" s="48" t="str">
        <f aca="false">IF(V207="","",IFERROR(V207/O207,""))</f>
        <v/>
      </c>
      <c r="X207" s="44"/>
      <c r="Y207" s="46"/>
      <c r="Z207" s="49"/>
      <c r="AA207" s="44"/>
      <c r="AB207" s="50" t="str">
        <f aca="false">IFERROR(INDEX(TABLA_IVA!$C$3:$C$6,MATCH(AA207,TABLA_IVA!$A$3:$A$6,0)),"")</f>
        <v/>
      </c>
      <c r="AC207" s="47"/>
      <c r="AD207" s="44"/>
      <c r="AE207" s="51"/>
      <c r="AF207" s="52" t="str">
        <f aca="false">IF(OR(AC207="",AE207="",AB207=""),"",IFERROR(AC207/(1-AE207)*(1+AB207),""))</f>
        <v/>
      </c>
      <c r="AG207" s="47"/>
      <c r="AH207" s="52" t="str">
        <f aca="false">IF(AD207="FIJO",IF(AG207="","",AG207),IF(AF207&lt;&gt;"",AF207,IF(AG207="","",AG207)))</f>
        <v/>
      </c>
      <c r="AI207" s="52" t="str">
        <f aca="false">IF(OR(AH207="",AB207=""),"",IFERROR(AH207/(1+AB207),""))</f>
        <v/>
      </c>
      <c r="AJ207" s="50" t="str">
        <f aca="false">IF(OR(AI207="",AC207=""),"",IFERROR((AI207-AC207)/AI207,""))</f>
        <v/>
      </c>
      <c r="AK207" s="53" t="str">
        <f aca="false">IF(OR(AJ207="",AE207=""),"",AJ207-AE207)</f>
        <v/>
      </c>
      <c r="AL207" s="54" t="str">
        <f aca="false">IF(OR(AH207="",AF207=""),"",AH207-AF207)</f>
        <v/>
      </c>
      <c r="AM207" s="55" t="str">
        <f aca="false">IF(OR(A207="",K207&lt;&gt;"SI"),"",IF(AE207="","Sin objetivo",IF(AJ207="","Faltan datos",IF(AJ207&lt;0,"PÉRDIDA",IF(AK207&lt;-UMB_CRITICO,"MUY POR DEBAJO",IF(AK207&lt;-UMB_BAJO,"POR DEBAJO",IF(AK207&lt;-UMB_AJUSTADO,"AJUSTADO",IF(AK207&lt;=UMB_ALTO,"EN OBJETIVO","POR ENCIMA"))))))))</f>
        <v/>
      </c>
      <c r="AN207" s="44"/>
      <c r="AO207" s="44"/>
      <c r="AP207" s="46"/>
      <c r="AQ207" s="46"/>
      <c r="AR207" s="46"/>
      <c r="AS207" s="44"/>
      <c r="AT207" s="44"/>
      <c r="AU207" s="44"/>
      <c r="AV207" s="44"/>
      <c r="AW207" s="44"/>
      <c r="AX207" s="45"/>
      <c r="AY207" s="44"/>
      <c r="AZ207" s="56"/>
      <c r="BA207" s="45"/>
    </row>
    <row r="208" customFormat="false" ht="15" hidden="false" customHeight="false" outlineLevel="0" collapsed="false">
      <c r="A208" s="44"/>
      <c r="B208" s="44"/>
      <c r="C208" s="45"/>
      <c r="D208" s="45"/>
      <c r="E208" s="44"/>
      <c r="F208" s="44"/>
      <c r="G208" s="44"/>
      <c r="H208" s="44"/>
      <c r="I208" s="44"/>
      <c r="J208" s="44"/>
      <c r="K208" s="44"/>
      <c r="L208" s="44"/>
      <c r="M208" s="44"/>
      <c r="N208" s="44"/>
      <c r="O208" s="46"/>
      <c r="P208" s="44"/>
      <c r="Q208" s="46"/>
      <c r="R208" s="44"/>
      <c r="S208" s="45"/>
      <c r="T208" s="44"/>
      <c r="U208" s="44"/>
      <c r="V208" s="47"/>
      <c r="W208" s="48" t="str">
        <f aca="false">IF(V208="","",IFERROR(V208/O208,""))</f>
        <v/>
      </c>
      <c r="X208" s="44"/>
      <c r="Y208" s="46"/>
      <c r="Z208" s="49"/>
      <c r="AA208" s="44"/>
      <c r="AB208" s="50" t="str">
        <f aca="false">IFERROR(INDEX(TABLA_IVA!$C$3:$C$6,MATCH(AA208,TABLA_IVA!$A$3:$A$6,0)),"")</f>
        <v/>
      </c>
      <c r="AC208" s="47"/>
      <c r="AD208" s="44"/>
      <c r="AE208" s="51"/>
      <c r="AF208" s="52" t="str">
        <f aca="false">IF(OR(AC208="",AE208="",AB208=""),"",IFERROR(AC208/(1-AE208)*(1+AB208),""))</f>
        <v/>
      </c>
      <c r="AG208" s="47"/>
      <c r="AH208" s="52" t="str">
        <f aca="false">IF(AD208="FIJO",IF(AG208="","",AG208),IF(AF208&lt;&gt;"",AF208,IF(AG208="","",AG208)))</f>
        <v/>
      </c>
      <c r="AI208" s="52" t="str">
        <f aca="false">IF(OR(AH208="",AB208=""),"",IFERROR(AH208/(1+AB208),""))</f>
        <v/>
      </c>
      <c r="AJ208" s="50" t="str">
        <f aca="false">IF(OR(AI208="",AC208=""),"",IFERROR((AI208-AC208)/AI208,""))</f>
        <v/>
      </c>
      <c r="AK208" s="53" t="str">
        <f aca="false">IF(OR(AJ208="",AE208=""),"",AJ208-AE208)</f>
        <v/>
      </c>
      <c r="AL208" s="54" t="str">
        <f aca="false">IF(OR(AH208="",AF208=""),"",AH208-AF208)</f>
        <v/>
      </c>
      <c r="AM208" s="55" t="str">
        <f aca="false">IF(OR(A208="",K208&lt;&gt;"SI"),"",IF(AE208="","Sin objetivo",IF(AJ208="","Faltan datos",IF(AJ208&lt;0,"PÉRDIDA",IF(AK208&lt;-UMB_CRITICO,"MUY POR DEBAJO",IF(AK208&lt;-UMB_BAJO,"POR DEBAJO",IF(AK208&lt;-UMB_AJUSTADO,"AJUSTADO",IF(AK208&lt;=UMB_ALTO,"EN OBJETIVO","POR ENCIMA"))))))))</f>
        <v/>
      </c>
      <c r="AN208" s="44"/>
      <c r="AO208" s="44"/>
      <c r="AP208" s="46"/>
      <c r="AQ208" s="46"/>
      <c r="AR208" s="46"/>
      <c r="AS208" s="44"/>
      <c r="AT208" s="44"/>
      <c r="AU208" s="44"/>
      <c r="AV208" s="44"/>
      <c r="AW208" s="44"/>
      <c r="AX208" s="45"/>
      <c r="AY208" s="44"/>
      <c r="AZ208" s="56"/>
      <c r="BA208" s="45"/>
    </row>
    <row r="209" customFormat="false" ht="15" hidden="false" customHeight="false" outlineLevel="0" collapsed="false">
      <c r="A209" s="44"/>
      <c r="B209" s="44"/>
      <c r="C209" s="45"/>
      <c r="D209" s="45"/>
      <c r="E209" s="44"/>
      <c r="F209" s="44"/>
      <c r="G209" s="44"/>
      <c r="H209" s="44"/>
      <c r="I209" s="44"/>
      <c r="J209" s="44"/>
      <c r="K209" s="44"/>
      <c r="L209" s="44"/>
      <c r="M209" s="44"/>
      <c r="N209" s="44"/>
      <c r="O209" s="46"/>
      <c r="P209" s="44"/>
      <c r="Q209" s="46"/>
      <c r="R209" s="44"/>
      <c r="S209" s="45"/>
      <c r="T209" s="44"/>
      <c r="U209" s="44"/>
      <c r="V209" s="47"/>
      <c r="W209" s="48" t="str">
        <f aca="false">IF(V209="","",IFERROR(V209/O209,""))</f>
        <v/>
      </c>
      <c r="X209" s="44"/>
      <c r="Y209" s="46"/>
      <c r="Z209" s="49"/>
      <c r="AA209" s="44"/>
      <c r="AB209" s="50" t="str">
        <f aca="false">IFERROR(INDEX(TABLA_IVA!$C$3:$C$6,MATCH(AA209,TABLA_IVA!$A$3:$A$6,0)),"")</f>
        <v/>
      </c>
      <c r="AC209" s="47"/>
      <c r="AD209" s="44"/>
      <c r="AE209" s="51"/>
      <c r="AF209" s="52" t="str">
        <f aca="false">IF(OR(AC209="",AE209="",AB209=""),"",IFERROR(AC209/(1-AE209)*(1+AB209),""))</f>
        <v/>
      </c>
      <c r="AG209" s="47"/>
      <c r="AH209" s="52" t="str">
        <f aca="false">IF(AD209="FIJO",IF(AG209="","",AG209),IF(AF209&lt;&gt;"",AF209,IF(AG209="","",AG209)))</f>
        <v/>
      </c>
      <c r="AI209" s="52" t="str">
        <f aca="false">IF(OR(AH209="",AB209=""),"",IFERROR(AH209/(1+AB209),""))</f>
        <v/>
      </c>
      <c r="AJ209" s="50" t="str">
        <f aca="false">IF(OR(AI209="",AC209=""),"",IFERROR((AI209-AC209)/AI209,""))</f>
        <v/>
      </c>
      <c r="AK209" s="53" t="str">
        <f aca="false">IF(OR(AJ209="",AE209=""),"",AJ209-AE209)</f>
        <v/>
      </c>
      <c r="AL209" s="54" t="str">
        <f aca="false">IF(OR(AH209="",AF209=""),"",AH209-AF209)</f>
        <v/>
      </c>
      <c r="AM209" s="55" t="str">
        <f aca="false">IF(OR(A209="",K209&lt;&gt;"SI"),"",IF(AE209="","Sin objetivo",IF(AJ209="","Faltan datos",IF(AJ209&lt;0,"PÉRDIDA",IF(AK209&lt;-UMB_CRITICO,"MUY POR DEBAJO",IF(AK209&lt;-UMB_BAJO,"POR DEBAJO",IF(AK209&lt;-UMB_AJUSTADO,"AJUSTADO",IF(AK209&lt;=UMB_ALTO,"EN OBJETIVO","POR ENCIMA"))))))))</f>
        <v/>
      </c>
      <c r="AN209" s="44"/>
      <c r="AO209" s="44"/>
      <c r="AP209" s="46"/>
      <c r="AQ209" s="46"/>
      <c r="AR209" s="46"/>
      <c r="AS209" s="44"/>
      <c r="AT209" s="44"/>
      <c r="AU209" s="44"/>
      <c r="AV209" s="44"/>
      <c r="AW209" s="44"/>
      <c r="AX209" s="45"/>
      <c r="AY209" s="44"/>
      <c r="AZ209" s="56"/>
      <c r="BA209" s="45"/>
    </row>
    <row r="210" customFormat="false" ht="15" hidden="false" customHeight="false" outlineLevel="0" collapsed="false">
      <c r="A210" s="44"/>
      <c r="B210" s="44"/>
      <c r="C210" s="45"/>
      <c r="D210" s="45"/>
      <c r="E210" s="44"/>
      <c r="F210" s="44"/>
      <c r="G210" s="44"/>
      <c r="H210" s="44"/>
      <c r="I210" s="44"/>
      <c r="J210" s="44"/>
      <c r="K210" s="44"/>
      <c r="L210" s="44"/>
      <c r="M210" s="44"/>
      <c r="N210" s="44"/>
      <c r="O210" s="46"/>
      <c r="P210" s="44"/>
      <c r="Q210" s="46"/>
      <c r="R210" s="44"/>
      <c r="S210" s="45"/>
      <c r="T210" s="44"/>
      <c r="U210" s="44"/>
      <c r="V210" s="47"/>
      <c r="W210" s="48" t="str">
        <f aca="false">IF(V210="","",IFERROR(V210/O210,""))</f>
        <v/>
      </c>
      <c r="X210" s="44"/>
      <c r="Y210" s="46"/>
      <c r="Z210" s="49"/>
      <c r="AA210" s="44"/>
      <c r="AB210" s="50" t="str">
        <f aca="false">IFERROR(INDEX(TABLA_IVA!$C$3:$C$6,MATCH(AA210,TABLA_IVA!$A$3:$A$6,0)),"")</f>
        <v/>
      </c>
      <c r="AC210" s="47"/>
      <c r="AD210" s="44"/>
      <c r="AE210" s="51"/>
      <c r="AF210" s="52" t="str">
        <f aca="false">IF(OR(AC210="",AE210="",AB210=""),"",IFERROR(AC210/(1-AE210)*(1+AB210),""))</f>
        <v/>
      </c>
      <c r="AG210" s="47"/>
      <c r="AH210" s="52" t="str">
        <f aca="false">IF(AD210="FIJO",IF(AG210="","",AG210),IF(AF210&lt;&gt;"",AF210,IF(AG210="","",AG210)))</f>
        <v/>
      </c>
      <c r="AI210" s="52" t="str">
        <f aca="false">IF(OR(AH210="",AB210=""),"",IFERROR(AH210/(1+AB210),""))</f>
        <v/>
      </c>
      <c r="AJ210" s="50" t="str">
        <f aca="false">IF(OR(AI210="",AC210=""),"",IFERROR((AI210-AC210)/AI210,""))</f>
        <v/>
      </c>
      <c r="AK210" s="53" t="str">
        <f aca="false">IF(OR(AJ210="",AE210=""),"",AJ210-AE210)</f>
        <v/>
      </c>
      <c r="AL210" s="54" t="str">
        <f aca="false">IF(OR(AH210="",AF210=""),"",AH210-AF210)</f>
        <v/>
      </c>
      <c r="AM210" s="55" t="str">
        <f aca="false">IF(OR(A210="",K210&lt;&gt;"SI"),"",IF(AE210="","Sin objetivo",IF(AJ210="","Faltan datos",IF(AJ210&lt;0,"PÉRDIDA",IF(AK210&lt;-UMB_CRITICO,"MUY POR DEBAJO",IF(AK210&lt;-UMB_BAJO,"POR DEBAJO",IF(AK210&lt;-UMB_AJUSTADO,"AJUSTADO",IF(AK210&lt;=UMB_ALTO,"EN OBJETIVO","POR ENCIMA"))))))))</f>
        <v/>
      </c>
      <c r="AN210" s="44"/>
      <c r="AO210" s="44"/>
      <c r="AP210" s="46"/>
      <c r="AQ210" s="46"/>
      <c r="AR210" s="46"/>
      <c r="AS210" s="44"/>
      <c r="AT210" s="44"/>
      <c r="AU210" s="44"/>
      <c r="AV210" s="44"/>
      <c r="AW210" s="44"/>
      <c r="AX210" s="45"/>
      <c r="AY210" s="44"/>
      <c r="AZ210" s="56"/>
      <c r="BA210" s="45"/>
    </row>
    <row r="211" customFormat="false" ht="15" hidden="false" customHeight="false" outlineLevel="0" collapsed="false">
      <c r="A211" s="44"/>
      <c r="B211" s="44"/>
      <c r="C211" s="45"/>
      <c r="D211" s="45"/>
      <c r="E211" s="44"/>
      <c r="F211" s="44"/>
      <c r="G211" s="44"/>
      <c r="H211" s="44"/>
      <c r="I211" s="44"/>
      <c r="J211" s="44"/>
      <c r="K211" s="44"/>
      <c r="L211" s="44"/>
      <c r="M211" s="44"/>
      <c r="N211" s="44"/>
      <c r="O211" s="46"/>
      <c r="P211" s="44"/>
      <c r="Q211" s="46"/>
      <c r="R211" s="44"/>
      <c r="S211" s="45"/>
      <c r="T211" s="44"/>
      <c r="U211" s="44"/>
      <c r="V211" s="47"/>
      <c r="W211" s="48" t="str">
        <f aca="false">IF(V211="","",IFERROR(V211/O211,""))</f>
        <v/>
      </c>
      <c r="X211" s="44"/>
      <c r="Y211" s="46"/>
      <c r="Z211" s="49"/>
      <c r="AA211" s="44"/>
      <c r="AB211" s="50" t="str">
        <f aca="false">IFERROR(INDEX(TABLA_IVA!$C$3:$C$6,MATCH(AA211,TABLA_IVA!$A$3:$A$6,0)),"")</f>
        <v/>
      </c>
      <c r="AC211" s="47"/>
      <c r="AD211" s="44"/>
      <c r="AE211" s="51"/>
      <c r="AF211" s="52" t="str">
        <f aca="false">IF(OR(AC211="",AE211="",AB211=""),"",IFERROR(AC211/(1-AE211)*(1+AB211),""))</f>
        <v/>
      </c>
      <c r="AG211" s="47"/>
      <c r="AH211" s="52" t="str">
        <f aca="false">IF(AD211="FIJO",IF(AG211="","",AG211),IF(AF211&lt;&gt;"",AF211,IF(AG211="","",AG211)))</f>
        <v/>
      </c>
      <c r="AI211" s="52" t="str">
        <f aca="false">IF(OR(AH211="",AB211=""),"",IFERROR(AH211/(1+AB211),""))</f>
        <v/>
      </c>
      <c r="AJ211" s="50" t="str">
        <f aca="false">IF(OR(AI211="",AC211=""),"",IFERROR((AI211-AC211)/AI211,""))</f>
        <v/>
      </c>
      <c r="AK211" s="53" t="str">
        <f aca="false">IF(OR(AJ211="",AE211=""),"",AJ211-AE211)</f>
        <v/>
      </c>
      <c r="AL211" s="54" t="str">
        <f aca="false">IF(OR(AH211="",AF211=""),"",AH211-AF211)</f>
        <v/>
      </c>
      <c r="AM211" s="55" t="str">
        <f aca="false">IF(OR(A211="",K211&lt;&gt;"SI"),"",IF(AE211="","Sin objetivo",IF(AJ211="","Faltan datos",IF(AJ211&lt;0,"PÉRDIDA",IF(AK211&lt;-UMB_CRITICO,"MUY POR DEBAJO",IF(AK211&lt;-UMB_BAJO,"POR DEBAJO",IF(AK211&lt;-UMB_AJUSTADO,"AJUSTADO",IF(AK211&lt;=UMB_ALTO,"EN OBJETIVO","POR ENCIMA"))))))))</f>
        <v/>
      </c>
      <c r="AN211" s="44"/>
      <c r="AO211" s="44"/>
      <c r="AP211" s="46"/>
      <c r="AQ211" s="46"/>
      <c r="AR211" s="46"/>
      <c r="AS211" s="44"/>
      <c r="AT211" s="44"/>
      <c r="AU211" s="44"/>
      <c r="AV211" s="44"/>
      <c r="AW211" s="44"/>
      <c r="AX211" s="45"/>
      <c r="AY211" s="44"/>
      <c r="AZ211" s="56"/>
      <c r="BA211" s="45"/>
    </row>
    <row r="212" customFormat="false" ht="15" hidden="false" customHeight="false" outlineLevel="0" collapsed="false">
      <c r="A212" s="44"/>
      <c r="B212" s="44"/>
      <c r="C212" s="45"/>
      <c r="D212" s="45"/>
      <c r="E212" s="44"/>
      <c r="F212" s="44"/>
      <c r="G212" s="44"/>
      <c r="H212" s="44"/>
      <c r="I212" s="44"/>
      <c r="J212" s="44"/>
      <c r="K212" s="44"/>
      <c r="L212" s="44"/>
      <c r="M212" s="44"/>
      <c r="N212" s="44"/>
      <c r="O212" s="46"/>
      <c r="P212" s="44"/>
      <c r="Q212" s="46"/>
      <c r="R212" s="44"/>
      <c r="S212" s="45"/>
      <c r="T212" s="44"/>
      <c r="U212" s="44"/>
      <c r="V212" s="47"/>
      <c r="W212" s="48" t="str">
        <f aca="false">IF(V212="","",IFERROR(V212/O212,""))</f>
        <v/>
      </c>
      <c r="X212" s="44"/>
      <c r="Y212" s="46"/>
      <c r="Z212" s="49"/>
      <c r="AA212" s="44"/>
      <c r="AB212" s="50" t="str">
        <f aca="false">IFERROR(INDEX(TABLA_IVA!$C$3:$C$6,MATCH(AA212,TABLA_IVA!$A$3:$A$6,0)),"")</f>
        <v/>
      </c>
      <c r="AC212" s="47"/>
      <c r="AD212" s="44"/>
      <c r="AE212" s="51"/>
      <c r="AF212" s="52" t="str">
        <f aca="false">IF(OR(AC212="",AE212="",AB212=""),"",IFERROR(AC212/(1-AE212)*(1+AB212),""))</f>
        <v/>
      </c>
      <c r="AG212" s="47"/>
      <c r="AH212" s="52" t="str">
        <f aca="false">IF(AD212="FIJO",IF(AG212="","",AG212),IF(AF212&lt;&gt;"",AF212,IF(AG212="","",AG212)))</f>
        <v/>
      </c>
      <c r="AI212" s="52" t="str">
        <f aca="false">IF(OR(AH212="",AB212=""),"",IFERROR(AH212/(1+AB212),""))</f>
        <v/>
      </c>
      <c r="AJ212" s="50" t="str">
        <f aca="false">IF(OR(AI212="",AC212=""),"",IFERROR((AI212-AC212)/AI212,""))</f>
        <v/>
      </c>
      <c r="AK212" s="53" t="str">
        <f aca="false">IF(OR(AJ212="",AE212=""),"",AJ212-AE212)</f>
        <v/>
      </c>
      <c r="AL212" s="54" t="str">
        <f aca="false">IF(OR(AH212="",AF212=""),"",AH212-AF212)</f>
        <v/>
      </c>
      <c r="AM212" s="55" t="str">
        <f aca="false">IF(OR(A212="",K212&lt;&gt;"SI"),"",IF(AE212="","Sin objetivo",IF(AJ212="","Faltan datos",IF(AJ212&lt;0,"PÉRDIDA",IF(AK212&lt;-UMB_CRITICO,"MUY POR DEBAJO",IF(AK212&lt;-UMB_BAJO,"POR DEBAJO",IF(AK212&lt;-UMB_AJUSTADO,"AJUSTADO",IF(AK212&lt;=UMB_ALTO,"EN OBJETIVO","POR ENCIMA"))))))))</f>
        <v/>
      </c>
      <c r="AN212" s="44"/>
      <c r="AO212" s="44"/>
      <c r="AP212" s="46"/>
      <c r="AQ212" s="46"/>
      <c r="AR212" s="46"/>
      <c r="AS212" s="44"/>
      <c r="AT212" s="44"/>
      <c r="AU212" s="44"/>
      <c r="AV212" s="44"/>
      <c r="AW212" s="44"/>
      <c r="AX212" s="45"/>
      <c r="AY212" s="44"/>
      <c r="AZ212" s="56"/>
      <c r="BA212" s="45"/>
    </row>
    <row r="213" customFormat="false" ht="15" hidden="false" customHeight="false" outlineLevel="0" collapsed="false">
      <c r="A213" s="44"/>
      <c r="B213" s="44"/>
      <c r="C213" s="45"/>
      <c r="D213" s="45"/>
      <c r="E213" s="44"/>
      <c r="F213" s="44"/>
      <c r="G213" s="44"/>
      <c r="H213" s="44"/>
      <c r="I213" s="44"/>
      <c r="J213" s="44"/>
      <c r="K213" s="44"/>
      <c r="L213" s="44"/>
      <c r="M213" s="44"/>
      <c r="N213" s="44"/>
      <c r="O213" s="46"/>
      <c r="P213" s="44"/>
      <c r="Q213" s="46"/>
      <c r="R213" s="44"/>
      <c r="S213" s="45"/>
      <c r="T213" s="44"/>
      <c r="U213" s="44"/>
      <c r="V213" s="47"/>
      <c r="W213" s="48" t="str">
        <f aca="false">IF(V213="","",IFERROR(V213/O213,""))</f>
        <v/>
      </c>
      <c r="X213" s="44"/>
      <c r="Y213" s="46"/>
      <c r="Z213" s="49"/>
      <c r="AA213" s="44"/>
      <c r="AB213" s="50" t="str">
        <f aca="false">IFERROR(INDEX(TABLA_IVA!$C$3:$C$6,MATCH(AA213,TABLA_IVA!$A$3:$A$6,0)),"")</f>
        <v/>
      </c>
      <c r="AC213" s="47"/>
      <c r="AD213" s="44"/>
      <c r="AE213" s="51"/>
      <c r="AF213" s="52" t="str">
        <f aca="false">IF(OR(AC213="",AE213="",AB213=""),"",IFERROR(AC213/(1-AE213)*(1+AB213),""))</f>
        <v/>
      </c>
      <c r="AG213" s="47"/>
      <c r="AH213" s="52" t="str">
        <f aca="false">IF(AD213="FIJO",IF(AG213="","",AG213),IF(AF213&lt;&gt;"",AF213,IF(AG213="","",AG213)))</f>
        <v/>
      </c>
      <c r="AI213" s="52" t="str">
        <f aca="false">IF(OR(AH213="",AB213=""),"",IFERROR(AH213/(1+AB213),""))</f>
        <v/>
      </c>
      <c r="AJ213" s="50" t="str">
        <f aca="false">IF(OR(AI213="",AC213=""),"",IFERROR((AI213-AC213)/AI213,""))</f>
        <v/>
      </c>
      <c r="AK213" s="53" t="str">
        <f aca="false">IF(OR(AJ213="",AE213=""),"",AJ213-AE213)</f>
        <v/>
      </c>
      <c r="AL213" s="54" t="str">
        <f aca="false">IF(OR(AH213="",AF213=""),"",AH213-AF213)</f>
        <v/>
      </c>
      <c r="AM213" s="55" t="str">
        <f aca="false">IF(OR(A213="",K213&lt;&gt;"SI"),"",IF(AE213="","Sin objetivo",IF(AJ213="","Faltan datos",IF(AJ213&lt;0,"PÉRDIDA",IF(AK213&lt;-UMB_CRITICO,"MUY POR DEBAJO",IF(AK213&lt;-UMB_BAJO,"POR DEBAJO",IF(AK213&lt;-UMB_AJUSTADO,"AJUSTADO",IF(AK213&lt;=UMB_ALTO,"EN OBJETIVO","POR ENCIMA"))))))))</f>
        <v/>
      </c>
      <c r="AN213" s="44"/>
      <c r="AO213" s="44"/>
      <c r="AP213" s="46"/>
      <c r="AQ213" s="46"/>
      <c r="AR213" s="46"/>
      <c r="AS213" s="44"/>
      <c r="AT213" s="44"/>
      <c r="AU213" s="44"/>
      <c r="AV213" s="44"/>
      <c r="AW213" s="44"/>
      <c r="AX213" s="45"/>
      <c r="AY213" s="44"/>
      <c r="AZ213" s="56"/>
      <c r="BA213" s="45"/>
    </row>
    <row r="214" customFormat="false" ht="15" hidden="false" customHeight="false" outlineLevel="0" collapsed="false">
      <c r="A214" s="44"/>
      <c r="B214" s="44"/>
      <c r="C214" s="45"/>
      <c r="D214" s="45"/>
      <c r="E214" s="44"/>
      <c r="F214" s="44"/>
      <c r="G214" s="44"/>
      <c r="H214" s="44"/>
      <c r="I214" s="44"/>
      <c r="J214" s="44"/>
      <c r="K214" s="44"/>
      <c r="L214" s="44"/>
      <c r="M214" s="44"/>
      <c r="N214" s="44"/>
      <c r="O214" s="46"/>
      <c r="P214" s="44"/>
      <c r="Q214" s="46"/>
      <c r="R214" s="44"/>
      <c r="S214" s="45"/>
      <c r="T214" s="44"/>
      <c r="U214" s="44"/>
      <c r="V214" s="47"/>
      <c r="W214" s="48" t="str">
        <f aca="false">IF(V214="","",IFERROR(V214/O214,""))</f>
        <v/>
      </c>
      <c r="X214" s="44"/>
      <c r="Y214" s="46"/>
      <c r="Z214" s="49"/>
      <c r="AA214" s="44"/>
      <c r="AB214" s="50" t="str">
        <f aca="false">IFERROR(INDEX(TABLA_IVA!$C$3:$C$6,MATCH(AA214,TABLA_IVA!$A$3:$A$6,0)),"")</f>
        <v/>
      </c>
      <c r="AC214" s="47"/>
      <c r="AD214" s="44"/>
      <c r="AE214" s="51"/>
      <c r="AF214" s="52" t="str">
        <f aca="false">IF(OR(AC214="",AE214="",AB214=""),"",IFERROR(AC214/(1-AE214)*(1+AB214),""))</f>
        <v/>
      </c>
      <c r="AG214" s="47"/>
      <c r="AH214" s="52" t="str">
        <f aca="false">IF(AD214="FIJO",IF(AG214="","",AG214),IF(AF214&lt;&gt;"",AF214,IF(AG214="","",AG214)))</f>
        <v/>
      </c>
      <c r="AI214" s="52" t="str">
        <f aca="false">IF(OR(AH214="",AB214=""),"",IFERROR(AH214/(1+AB214),""))</f>
        <v/>
      </c>
      <c r="AJ214" s="50" t="str">
        <f aca="false">IF(OR(AI214="",AC214=""),"",IFERROR((AI214-AC214)/AI214,""))</f>
        <v/>
      </c>
      <c r="AK214" s="53" t="str">
        <f aca="false">IF(OR(AJ214="",AE214=""),"",AJ214-AE214)</f>
        <v/>
      </c>
      <c r="AL214" s="54" t="str">
        <f aca="false">IF(OR(AH214="",AF214=""),"",AH214-AF214)</f>
        <v/>
      </c>
      <c r="AM214" s="55" t="str">
        <f aca="false">IF(OR(A214="",K214&lt;&gt;"SI"),"",IF(AE214="","Sin objetivo",IF(AJ214="","Faltan datos",IF(AJ214&lt;0,"PÉRDIDA",IF(AK214&lt;-UMB_CRITICO,"MUY POR DEBAJO",IF(AK214&lt;-UMB_BAJO,"POR DEBAJO",IF(AK214&lt;-UMB_AJUSTADO,"AJUSTADO",IF(AK214&lt;=UMB_ALTO,"EN OBJETIVO","POR ENCIMA"))))))))</f>
        <v/>
      </c>
      <c r="AN214" s="44"/>
      <c r="AO214" s="44"/>
      <c r="AP214" s="46"/>
      <c r="AQ214" s="46"/>
      <c r="AR214" s="46"/>
      <c r="AS214" s="44"/>
      <c r="AT214" s="44"/>
      <c r="AU214" s="44"/>
      <c r="AV214" s="44"/>
      <c r="AW214" s="44"/>
      <c r="AX214" s="45"/>
      <c r="AY214" s="44"/>
      <c r="AZ214" s="56"/>
      <c r="BA214" s="45"/>
    </row>
    <row r="215" customFormat="false" ht="15" hidden="false" customHeight="false" outlineLevel="0" collapsed="false">
      <c r="A215" s="44"/>
      <c r="B215" s="44"/>
      <c r="C215" s="45"/>
      <c r="D215" s="45"/>
      <c r="E215" s="44"/>
      <c r="F215" s="44"/>
      <c r="G215" s="44"/>
      <c r="H215" s="44"/>
      <c r="I215" s="44"/>
      <c r="J215" s="44"/>
      <c r="K215" s="44"/>
      <c r="L215" s="44"/>
      <c r="M215" s="44"/>
      <c r="N215" s="44"/>
      <c r="O215" s="46"/>
      <c r="P215" s="44"/>
      <c r="Q215" s="46"/>
      <c r="R215" s="44"/>
      <c r="S215" s="45"/>
      <c r="T215" s="44"/>
      <c r="U215" s="44"/>
      <c r="V215" s="47"/>
      <c r="W215" s="48" t="str">
        <f aca="false">IF(V215="","",IFERROR(V215/O215,""))</f>
        <v/>
      </c>
      <c r="X215" s="44"/>
      <c r="Y215" s="46"/>
      <c r="Z215" s="49"/>
      <c r="AA215" s="44"/>
      <c r="AB215" s="50" t="str">
        <f aca="false">IFERROR(INDEX(TABLA_IVA!$C$3:$C$6,MATCH(AA215,TABLA_IVA!$A$3:$A$6,0)),"")</f>
        <v/>
      </c>
      <c r="AC215" s="47"/>
      <c r="AD215" s="44"/>
      <c r="AE215" s="51"/>
      <c r="AF215" s="52" t="str">
        <f aca="false">IF(OR(AC215="",AE215="",AB215=""),"",IFERROR(AC215/(1-AE215)*(1+AB215),""))</f>
        <v/>
      </c>
      <c r="AG215" s="47"/>
      <c r="AH215" s="52" t="str">
        <f aca="false">IF(AD215="FIJO",IF(AG215="","",AG215),IF(AF215&lt;&gt;"",AF215,IF(AG215="","",AG215)))</f>
        <v/>
      </c>
      <c r="AI215" s="52" t="str">
        <f aca="false">IF(OR(AH215="",AB215=""),"",IFERROR(AH215/(1+AB215),""))</f>
        <v/>
      </c>
      <c r="AJ215" s="50" t="str">
        <f aca="false">IF(OR(AI215="",AC215=""),"",IFERROR((AI215-AC215)/AI215,""))</f>
        <v/>
      </c>
      <c r="AK215" s="53" t="str">
        <f aca="false">IF(OR(AJ215="",AE215=""),"",AJ215-AE215)</f>
        <v/>
      </c>
      <c r="AL215" s="54" t="str">
        <f aca="false">IF(OR(AH215="",AF215=""),"",AH215-AF215)</f>
        <v/>
      </c>
      <c r="AM215" s="55" t="str">
        <f aca="false">IF(OR(A215="",K215&lt;&gt;"SI"),"",IF(AE215="","Sin objetivo",IF(AJ215="","Faltan datos",IF(AJ215&lt;0,"PÉRDIDA",IF(AK215&lt;-UMB_CRITICO,"MUY POR DEBAJO",IF(AK215&lt;-UMB_BAJO,"POR DEBAJO",IF(AK215&lt;-UMB_AJUSTADO,"AJUSTADO",IF(AK215&lt;=UMB_ALTO,"EN OBJETIVO","POR ENCIMA"))))))))</f>
        <v/>
      </c>
      <c r="AN215" s="44"/>
      <c r="AO215" s="44"/>
      <c r="AP215" s="46"/>
      <c r="AQ215" s="46"/>
      <c r="AR215" s="46"/>
      <c r="AS215" s="44"/>
      <c r="AT215" s="44"/>
      <c r="AU215" s="44"/>
      <c r="AV215" s="44"/>
      <c r="AW215" s="44"/>
      <c r="AX215" s="45"/>
      <c r="AY215" s="44"/>
      <c r="AZ215" s="56"/>
      <c r="BA215" s="45"/>
    </row>
    <row r="216" customFormat="false" ht="15" hidden="false" customHeight="false" outlineLevel="0" collapsed="false">
      <c r="A216" s="44"/>
      <c r="B216" s="44"/>
      <c r="C216" s="45"/>
      <c r="D216" s="45"/>
      <c r="E216" s="44"/>
      <c r="F216" s="44"/>
      <c r="G216" s="44"/>
      <c r="H216" s="44"/>
      <c r="I216" s="44"/>
      <c r="J216" s="44"/>
      <c r="K216" s="44"/>
      <c r="L216" s="44"/>
      <c r="M216" s="44"/>
      <c r="N216" s="44"/>
      <c r="O216" s="46"/>
      <c r="P216" s="44"/>
      <c r="Q216" s="46"/>
      <c r="R216" s="44"/>
      <c r="S216" s="45"/>
      <c r="T216" s="44"/>
      <c r="U216" s="44"/>
      <c r="V216" s="47"/>
      <c r="W216" s="48" t="str">
        <f aca="false">IF(V216="","",IFERROR(V216/O216,""))</f>
        <v/>
      </c>
      <c r="X216" s="44"/>
      <c r="Y216" s="46"/>
      <c r="Z216" s="49"/>
      <c r="AA216" s="44"/>
      <c r="AB216" s="50" t="str">
        <f aca="false">IFERROR(INDEX(TABLA_IVA!$C$3:$C$6,MATCH(AA216,TABLA_IVA!$A$3:$A$6,0)),"")</f>
        <v/>
      </c>
      <c r="AC216" s="47"/>
      <c r="AD216" s="44"/>
      <c r="AE216" s="51"/>
      <c r="AF216" s="52" t="str">
        <f aca="false">IF(OR(AC216="",AE216="",AB216=""),"",IFERROR(AC216/(1-AE216)*(1+AB216),""))</f>
        <v/>
      </c>
      <c r="AG216" s="47"/>
      <c r="AH216" s="52" t="str">
        <f aca="false">IF(AD216="FIJO",IF(AG216="","",AG216),IF(AF216&lt;&gt;"",AF216,IF(AG216="","",AG216)))</f>
        <v/>
      </c>
      <c r="AI216" s="52" t="str">
        <f aca="false">IF(OR(AH216="",AB216=""),"",IFERROR(AH216/(1+AB216),""))</f>
        <v/>
      </c>
      <c r="AJ216" s="50" t="str">
        <f aca="false">IF(OR(AI216="",AC216=""),"",IFERROR((AI216-AC216)/AI216,""))</f>
        <v/>
      </c>
      <c r="AK216" s="53" t="str">
        <f aca="false">IF(OR(AJ216="",AE216=""),"",AJ216-AE216)</f>
        <v/>
      </c>
      <c r="AL216" s="54" t="str">
        <f aca="false">IF(OR(AH216="",AF216=""),"",AH216-AF216)</f>
        <v/>
      </c>
      <c r="AM216" s="55" t="str">
        <f aca="false">IF(OR(A216="",K216&lt;&gt;"SI"),"",IF(AE216="","Sin objetivo",IF(AJ216="","Faltan datos",IF(AJ216&lt;0,"PÉRDIDA",IF(AK216&lt;-UMB_CRITICO,"MUY POR DEBAJO",IF(AK216&lt;-UMB_BAJO,"POR DEBAJO",IF(AK216&lt;-UMB_AJUSTADO,"AJUSTADO",IF(AK216&lt;=UMB_ALTO,"EN OBJETIVO","POR ENCIMA"))))))))</f>
        <v/>
      </c>
      <c r="AN216" s="44"/>
      <c r="AO216" s="44"/>
      <c r="AP216" s="46"/>
      <c r="AQ216" s="46"/>
      <c r="AR216" s="46"/>
      <c r="AS216" s="44"/>
      <c r="AT216" s="44"/>
      <c r="AU216" s="44"/>
      <c r="AV216" s="44"/>
      <c r="AW216" s="44"/>
      <c r="AX216" s="45"/>
      <c r="AY216" s="44"/>
      <c r="AZ216" s="56"/>
      <c r="BA216" s="45"/>
    </row>
    <row r="217" customFormat="false" ht="15" hidden="false" customHeight="false" outlineLevel="0" collapsed="false">
      <c r="A217" s="44"/>
      <c r="B217" s="44"/>
      <c r="C217" s="45"/>
      <c r="D217" s="45"/>
      <c r="E217" s="44"/>
      <c r="F217" s="44"/>
      <c r="G217" s="44"/>
      <c r="H217" s="44"/>
      <c r="I217" s="44"/>
      <c r="J217" s="44"/>
      <c r="K217" s="44"/>
      <c r="L217" s="44"/>
      <c r="M217" s="44"/>
      <c r="N217" s="44"/>
      <c r="O217" s="46"/>
      <c r="P217" s="44"/>
      <c r="Q217" s="46"/>
      <c r="R217" s="44"/>
      <c r="S217" s="45"/>
      <c r="T217" s="44"/>
      <c r="U217" s="44"/>
      <c r="V217" s="47"/>
      <c r="W217" s="48" t="str">
        <f aca="false">IF(V217="","",IFERROR(V217/O217,""))</f>
        <v/>
      </c>
      <c r="X217" s="44"/>
      <c r="Y217" s="46"/>
      <c r="Z217" s="49"/>
      <c r="AA217" s="44"/>
      <c r="AB217" s="50" t="str">
        <f aca="false">IFERROR(INDEX(TABLA_IVA!$C$3:$C$6,MATCH(AA217,TABLA_IVA!$A$3:$A$6,0)),"")</f>
        <v/>
      </c>
      <c r="AC217" s="47"/>
      <c r="AD217" s="44"/>
      <c r="AE217" s="51"/>
      <c r="AF217" s="52" t="str">
        <f aca="false">IF(OR(AC217="",AE217="",AB217=""),"",IFERROR(AC217/(1-AE217)*(1+AB217),""))</f>
        <v/>
      </c>
      <c r="AG217" s="47"/>
      <c r="AH217" s="52" t="str">
        <f aca="false">IF(AD217="FIJO",IF(AG217="","",AG217),IF(AF217&lt;&gt;"",AF217,IF(AG217="","",AG217)))</f>
        <v/>
      </c>
      <c r="AI217" s="52" t="str">
        <f aca="false">IF(OR(AH217="",AB217=""),"",IFERROR(AH217/(1+AB217),""))</f>
        <v/>
      </c>
      <c r="AJ217" s="50" t="str">
        <f aca="false">IF(OR(AI217="",AC217=""),"",IFERROR((AI217-AC217)/AI217,""))</f>
        <v/>
      </c>
      <c r="AK217" s="53" t="str">
        <f aca="false">IF(OR(AJ217="",AE217=""),"",AJ217-AE217)</f>
        <v/>
      </c>
      <c r="AL217" s="54" t="str">
        <f aca="false">IF(OR(AH217="",AF217=""),"",AH217-AF217)</f>
        <v/>
      </c>
      <c r="AM217" s="55" t="str">
        <f aca="false">IF(OR(A217="",K217&lt;&gt;"SI"),"",IF(AE217="","Sin objetivo",IF(AJ217="","Faltan datos",IF(AJ217&lt;0,"PÉRDIDA",IF(AK217&lt;-UMB_CRITICO,"MUY POR DEBAJO",IF(AK217&lt;-UMB_BAJO,"POR DEBAJO",IF(AK217&lt;-UMB_AJUSTADO,"AJUSTADO",IF(AK217&lt;=UMB_ALTO,"EN OBJETIVO","POR ENCIMA"))))))))</f>
        <v/>
      </c>
      <c r="AN217" s="44"/>
      <c r="AO217" s="44"/>
      <c r="AP217" s="46"/>
      <c r="AQ217" s="46"/>
      <c r="AR217" s="46"/>
      <c r="AS217" s="44"/>
      <c r="AT217" s="44"/>
      <c r="AU217" s="44"/>
      <c r="AV217" s="44"/>
      <c r="AW217" s="44"/>
      <c r="AX217" s="45"/>
      <c r="AY217" s="44"/>
      <c r="AZ217" s="56"/>
      <c r="BA217" s="45"/>
    </row>
    <row r="218" customFormat="false" ht="15" hidden="false" customHeight="false" outlineLevel="0" collapsed="false">
      <c r="A218" s="44"/>
      <c r="B218" s="44"/>
      <c r="C218" s="45"/>
      <c r="D218" s="45"/>
      <c r="E218" s="44"/>
      <c r="F218" s="44"/>
      <c r="G218" s="44"/>
      <c r="H218" s="44"/>
      <c r="I218" s="44"/>
      <c r="J218" s="44"/>
      <c r="K218" s="44"/>
      <c r="L218" s="44"/>
      <c r="M218" s="44"/>
      <c r="N218" s="44"/>
      <c r="O218" s="46"/>
      <c r="P218" s="44"/>
      <c r="Q218" s="46"/>
      <c r="R218" s="44"/>
      <c r="S218" s="45"/>
      <c r="T218" s="44"/>
      <c r="U218" s="44"/>
      <c r="V218" s="47"/>
      <c r="W218" s="48" t="str">
        <f aca="false">IF(V218="","",IFERROR(V218/O218,""))</f>
        <v/>
      </c>
      <c r="X218" s="44"/>
      <c r="Y218" s="46"/>
      <c r="Z218" s="49"/>
      <c r="AA218" s="44"/>
      <c r="AB218" s="50" t="str">
        <f aca="false">IFERROR(INDEX(TABLA_IVA!$C$3:$C$6,MATCH(AA218,TABLA_IVA!$A$3:$A$6,0)),"")</f>
        <v/>
      </c>
      <c r="AC218" s="47"/>
      <c r="AD218" s="44"/>
      <c r="AE218" s="51"/>
      <c r="AF218" s="52" t="str">
        <f aca="false">IF(OR(AC218="",AE218="",AB218=""),"",IFERROR(AC218/(1-AE218)*(1+AB218),""))</f>
        <v/>
      </c>
      <c r="AG218" s="47"/>
      <c r="AH218" s="52" t="str">
        <f aca="false">IF(AD218="FIJO",IF(AG218="","",AG218),IF(AF218&lt;&gt;"",AF218,IF(AG218="","",AG218)))</f>
        <v/>
      </c>
      <c r="AI218" s="52" t="str">
        <f aca="false">IF(OR(AH218="",AB218=""),"",IFERROR(AH218/(1+AB218),""))</f>
        <v/>
      </c>
      <c r="AJ218" s="50" t="str">
        <f aca="false">IF(OR(AI218="",AC218=""),"",IFERROR((AI218-AC218)/AI218,""))</f>
        <v/>
      </c>
      <c r="AK218" s="53" t="str">
        <f aca="false">IF(OR(AJ218="",AE218=""),"",AJ218-AE218)</f>
        <v/>
      </c>
      <c r="AL218" s="54" t="str">
        <f aca="false">IF(OR(AH218="",AF218=""),"",AH218-AF218)</f>
        <v/>
      </c>
      <c r="AM218" s="55" t="str">
        <f aca="false">IF(OR(A218="",K218&lt;&gt;"SI"),"",IF(AE218="","Sin objetivo",IF(AJ218="","Faltan datos",IF(AJ218&lt;0,"PÉRDIDA",IF(AK218&lt;-UMB_CRITICO,"MUY POR DEBAJO",IF(AK218&lt;-UMB_BAJO,"POR DEBAJO",IF(AK218&lt;-UMB_AJUSTADO,"AJUSTADO",IF(AK218&lt;=UMB_ALTO,"EN OBJETIVO","POR ENCIMA"))))))))</f>
        <v/>
      </c>
      <c r="AN218" s="44"/>
      <c r="AO218" s="44"/>
      <c r="AP218" s="46"/>
      <c r="AQ218" s="46"/>
      <c r="AR218" s="46"/>
      <c r="AS218" s="44"/>
      <c r="AT218" s="44"/>
      <c r="AU218" s="44"/>
      <c r="AV218" s="44"/>
      <c r="AW218" s="44"/>
      <c r="AX218" s="45"/>
      <c r="AY218" s="44"/>
      <c r="AZ218" s="56"/>
      <c r="BA218" s="45"/>
    </row>
    <row r="219" customFormat="false" ht="15" hidden="false" customHeight="false" outlineLevel="0" collapsed="false">
      <c r="A219" s="44"/>
      <c r="B219" s="44"/>
      <c r="C219" s="45"/>
      <c r="D219" s="45"/>
      <c r="E219" s="44"/>
      <c r="F219" s="44"/>
      <c r="G219" s="44"/>
      <c r="H219" s="44"/>
      <c r="I219" s="44"/>
      <c r="J219" s="44"/>
      <c r="K219" s="44"/>
      <c r="L219" s="44"/>
      <c r="M219" s="44"/>
      <c r="N219" s="44"/>
      <c r="O219" s="46"/>
      <c r="P219" s="44"/>
      <c r="Q219" s="46"/>
      <c r="R219" s="44"/>
      <c r="S219" s="45"/>
      <c r="T219" s="44"/>
      <c r="U219" s="44"/>
      <c r="V219" s="47"/>
      <c r="W219" s="48" t="str">
        <f aca="false">IF(V219="","",IFERROR(V219/O219,""))</f>
        <v/>
      </c>
      <c r="X219" s="44"/>
      <c r="Y219" s="46"/>
      <c r="Z219" s="49"/>
      <c r="AA219" s="44"/>
      <c r="AB219" s="50" t="str">
        <f aca="false">IFERROR(INDEX(TABLA_IVA!$C$3:$C$6,MATCH(AA219,TABLA_IVA!$A$3:$A$6,0)),"")</f>
        <v/>
      </c>
      <c r="AC219" s="47"/>
      <c r="AD219" s="44"/>
      <c r="AE219" s="51"/>
      <c r="AF219" s="52" t="str">
        <f aca="false">IF(OR(AC219="",AE219="",AB219=""),"",IFERROR(AC219/(1-AE219)*(1+AB219),""))</f>
        <v/>
      </c>
      <c r="AG219" s="47"/>
      <c r="AH219" s="52" t="str">
        <f aca="false">IF(AD219="FIJO",IF(AG219="","",AG219),IF(AF219&lt;&gt;"",AF219,IF(AG219="","",AG219)))</f>
        <v/>
      </c>
      <c r="AI219" s="52" t="str">
        <f aca="false">IF(OR(AH219="",AB219=""),"",IFERROR(AH219/(1+AB219),""))</f>
        <v/>
      </c>
      <c r="AJ219" s="50" t="str">
        <f aca="false">IF(OR(AI219="",AC219=""),"",IFERROR((AI219-AC219)/AI219,""))</f>
        <v/>
      </c>
      <c r="AK219" s="53" t="str">
        <f aca="false">IF(OR(AJ219="",AE219=""),"",AJ219-AE219)</f>
        <v/>
      </c>
      <c r="AL219" s="54" t="str">
        <f aca="false">IF(OR(AH219="",AF219=""),"",AH219-AF219)</f>
        <v/>
      </c>
      <c r="AM219" s="55" t="str">
        <f aca="false">IF(OR(A219="",K219&lt;&gt;"SI"),"",IF(AE219="","Sin objetivo",IF(AJ219="","Faltan datos",IF(AJ219&lt;0,"PÉRDIDA",IF(AK219&lt;-UMB_CRITICO,"MUY POR DEBAJO",IF(AK219&lt;-UMB_BAJO,"POR DEBAJO",IF(AK219&lt;-UMB_AJUSTADO,"AJUSTADO",IF(AK219&lt;=UMB_ALTO,"EN OBJETIVO","POR ENCIMA"))))))))</f>
        <v/>
      </c>
      <c r="AN219" s="44"/>
      <c r="AO219" s="44"/>
      <c r="AP219" s="46"/>
      <c r="AQ219" s="46"/>
      <c r="AR219" s="46"/>
      <c r="AS219" s="44"/>
      <c r="AT219" s="44"/>
      <c r="AU219" s="44"/>
      <c r="AV219" s="44"/>
      <c r="AW219" s="44"/>
      <c r="AX219" s="45"/>
      <c r="AY219" s="44"/>
      <c r="AZ219" s="56"/>
      <c r="BA219" s="45"/>
    </row>
    <row r="220" customFormat="false" ht="15" hidden="false" customHeight="false" outlineLevel="0" collapsed="false">
      <c r="A220" s="44"/>
      <c r="B220" s="44"/>
      <c r="C220" s="45"/>
      <c r="D220" s="45"/>
      <c r="E220" s="44"/>
      <c r="F220" s="44"/>
      <c r="G220" s="44"/>
      <c r="H220" s="44"/>
      <c r="I220" s="44"/>
      <c r="J220" s="44"/>
      <c r="K220" s="44"/>
      <c r="L220" s="44"/>
      <c r="M220" s="44"/>
      <c r="N220" s="44"/>
      <c r="O220" s="46"/>
      <c r="P220" s="44"/>
      <c r="Q220" s="46"/>
      <c r="R220" s="44"/>
      <c r="S220" s="45"/>
      <c r="T220" s="44"/>
      <c r="U220" s="44"/>
      <c r="V220" s="47"/>
      <c r="W220" s="48" t="str">
        <f aca="false">IF(V220="","",IFERROR(V220/O220,""))</f>
        <v/>
      </c>
      <c r="X220" s="44"/>
      <c r="Y220" s="46"/>
      <c r="Z220" s="49"/>
      <c r="AA220" s="44"/>
      <c r="AB220" s="50" t="str">
        <f aca="false">IFERROR(INDEX(TABLA_IVA!$C$3:$C$6,MATCH(AA220,TABLA_IVA!$A$3:$A$6,0)),"")</f>
        <v/>
      </c>
      <c r="AC220" s="47"/>
      <c r="AD220" s="44"/>
      <c r="AE220" s="51"/>
      <c r="AF220" s="52" t="str">
        <f aca="false">IF(OR(AC220="",AE220="",AB220=""),"",IFERROR(AC220/(1-AE220)*(1+AB220),""))</f>
        <v/>
      </c>
      <c r="AG220" s="47"/>
      <c r="AH220" s="52" t="str">
        <f aca="false">IF(AD220="FIJO",IF(AG220="","",AG220),IF(AF220&lt;&gt;"",AF220,IF(AG220="","",AG220)))</f>
        <v/>
      </c>
      <c r="AI220" s="52" t="str">
        <f aca="false">IF(OR(AH220="",AB220=""),"",IFERROR(AH220/(1+AB220),""))</f>
        <v/>
      </c>
      <c r="AJ220" s="50" t="str">
        <f aca="false">IF(OR(AI220="",AC220=""),"",IFERROR((AI220-AC220)/AI220,""))</f>
        <v/>
      </c>
      <c r="AK220" s="53" t="str">
        <f aca="false">IF(OR(AJ220="",AE220=""),"",AJ220-AE220)</f>
        <v/>
      </c>
      <c r="AL220" s="54" t="str">
        <f aca="false">IF(OR(AH220="",AF220=""),"",AH220-AF220)</f>
        <v/>
      </c>
      <c r="AM220" s="55" t="str">
        <f aca="false">IF(OR(A220="",K220&lt;&gt;"SI"),"",IF(AE220="","Sin objetivo",IF(AJ220="","Faltan datos",IF(AJ220&lt;0,"PÉRDIDA",IF(AK220&lt;-UMB_CRITICO,"MUY POR DEBAJO",IF(AK220&lt;-UMB_BAJO,"POR DEBAJO",IF(AK220&lt;-UMB_AJUSTADO,"AJUSTADO",IF(AK220&lt;=UMB_ALTO,"EN OBJETIVO","POR ENCIMA"))))))))</f>
        <v/>
      </c>
      <c r="AN220" s="44"/>
      <c r="AO220" s="44"/>
      <c r="AP220" s="46"/>
      <c r="AQ220" s="46"/>
      <c r="AR220" s="46"/>
      <c r="AS220" s="44"/>
      <c r="AT220" s="44"/>
      <c r="AU220" s="44"/>
      <c r="AV220" s="44"/>
      <c r="AW220" s="44"/>
      <c r="AX220" s="45"/>
      <c r="AY220" s="44"/>
      <c r="AZ220" s="56"/>
      <c r="BA220" s="45"/>
    </row>
    <row r="221" customFormat="false" ht="15" hidden="false" customHeight="false" outlineLevel="0" collapsed="false">
      <c r="A221" s="44"/>
      <c r="B221" s="44"/>
      <c r="C221" s="45"/>
      <c r="D221" s="45"/>
      <c r="E221" s="44"/>
      <c r="F221" s="44"/>
      <c r="G221" s="44"/>
      <c r="H221" s="44"/>
      <c r="I221" s="44"/>
      <c r="J221" s="44"/>
      <c r="K221" s="44"/>
      <c r="L221" s="44"/>
      <c r="M221" s="44"/>
      <c r="N221" s="44"/>
      <c r="O221" s="46"/>
      <c r="P221" s="44"/>
      <c r="Q221" s="46"/>
      <c r="R221" s="44"/>
      <c r="S221" s="45"/>
      <c r="T221" s="44"/>
      <c r="U221" s="44"/>
      <c r="V221" s="47"/>
      <c r="W221" s="48" t="str">
        <f aca="false">IF(V221="","",IFERROR(V221/O221,""))</f>
        <v/>
      </c>
      <c r="X221" s="44"/>
      <c r="Y221" s="46"/>
      <c r="Z221" s="49"/>
      <c r="AA221" s="44"/>
      <c r="AB221" s="50" t="str">
        <f aca="false">IFERROR(INDEX(TABLA_IVA!$C$3:$C$6,MATCH(AA221,TABLA_IVA!$A$3:$A$6,0)),"")</f>
        <v/>
      </c>
      <c r="AC221" s="47"/>
      <c r="AD221" s="44"/>
      <c r="AE221" s="51"/>
      <c r="AF221" s="52" t="str">
        <f aca="false">IF(OR(AC221="",AE221="",AB221=""),"",IFERROR(AC221/(1-AE221)*(1+AB221),""))</f>
        <v/>
      </c>
      <c r="AG221" s="47"/>
      <c r="AH221" s="52" t="str">
        <f aca="false">IF(AD221="FIJO",IF(AG221="","",AG221),IF(AF221&lt;&gt;"",AF221,IF(AG221="","",AG221)))</f>
        <v/>
      </c>
      <c r="AI221" s="52" t="str">
        <f aca="false">IF(OR(AH221="",AB221=""),"",IFERROR(AH221/(1+AB221),""))</f>
        <v/>
      </c>
      <c r="AJ221" s="50" t="str">
        <f aca="false">IF(OR(AI221="",AC221=""),"",IFERROR((AI221-AC221)/AI221,""))</f>
        <v/>
      </c>
      <c r="AK221" s="53" t="str">
        <f aca="false">IF(OR(AJ221="",AE221=""),"",AJ221-AE221)</f>
        <v/>
      </c>
      <c r="AL221" s="54" t="str">
        <f aca="false">IF(OR(AH221="",AF221=""),"",AH221-AF221)</f>
        <v/>
      </c>
      <c r="AM221" s="55" t="str">
        <f aca="false">IF(OR(A221="",K221&lt;&gt;"SI"),"",IF(AE221="","Sin objetivo",IF(AJ221="","Faltan datos",IF(AJ221&lt;0,"PÉRDIDA",IF(AK221&lt;-UMB_CRITICO,"MUY POR DEBAJO",IF(AK221&lt;-UMB_BAJO,"POR DEBAJO",IF(AK221&lt;-UMB_AJUSTADO,"AJUSTADO",IF(AK221&lt;=UMB_ALTO,"EN OBJETIVO","POR ENCIMA"))))))))</f>
        <v/>
      </c>
      <c r="AN221" s="44"/>
      <c r="AO221" s="44"/>
      <c r="AP221" s="46"/>
      <c r="AQ221" s="46"/>
      <c r="AR221" s="46"/>
      <c r="AS221" s="44"/>
      <c r="AT221" s="44"/>
      <c r="AU221" s="44"/>
      <c r="AV221" s="44"/>
      <c r="AW221" s="44"/>
      <c r="AX221" s="45"/>
      <c r="AY221" s="44"/>
      <c r="AZ221" s="56"/>
      <c r="BA221" s="45"/>
    </row>
    <row r="222" customFormat="false" ht="15" hidden="false" customHeight="false" outlineLevel="0" collapsed="false">
      <c r="A222" s="44"/>
      <c r="B222" s="44"/>
      <c r="C222" s="45"/>
      <c r="D222" s="45"/>
      <c r="E222" s="44"/>
      <c r="F222" s="44"/>
      <c r="G222" s="44"/>
      <c r="H222" s="44"/>
      <c r="I222" s="44"/>
      <c r="J222" s="44"/>
      <c r="K222" s="44"/>
      <c r="L222" s="44"/>
      <c r="M222" s="44"/>
      <c r="N222" s="44"/>
      <c r="O222" s="46"/>
      <c r="P222" s="44"/>
      <c r="Q222" s="46"/>
      <c r="R222" s="44"/>
      <c r="S222" s="45"/>
      <c r="T222" s="44"/>
      <c r="U222" s="44"/>
      <c r="V222" s="47"/>
      <c r="W222" s="48" t="str">
        <f aca="false">IF(V222="","",IFERROR(V222/O222,""))</f>
        <v/>
      </c>
      <c r="X222" s="44"/>
      <c r="Y222" s="46"/>
      <c r="Z222" s="49"/>
      <c r="AA222" s="44"/>
      <c r="AB222" s="50" t="str">
        <f aca="false">IFERROR(INDEX(TABLA_IVA!$C$3:$C$6,MATCH(AA222,TABLA_IVA!$A$3:$A$6,0)),"")</f>
        <v/>
      </c>
      <c r="AC222" s="47"/>
      <c r="AD222" s="44"/>
      <c r="AE222" s="51"/>
      <c r="AF222" s="52" t="str">
        <f aca="false">IF(OR(AC222="",AE222="",AB222=""),"",IFERROR(AC222/(1-AE222)*(1+AB222),""))</f>
        <v/>
      </c>
      <c r="AG222" s="47"/>
      <c r="AH222" s="52" t="str">
        <f aca="false">IF(AD222="FIJO",IF(AG222="","",AG222),IF(AF222&lt;&gt;"",AF222,IF(AG222="","",AG222)))</f>
        <v/>
      </c>
      <c r="AI222" s="52" t="str">
        <f aca="false">IF(OR(AH222="",AB222=""),"",IFERROR(AH222/(1+AB222),""))</f>
        <v/>
      </c>
      <c r="AJ222" s="50" t="str">
        <f aca="false">IF(OR(AI222="",AC222=""),"",IFERROR((AI222-AC222)/AI222,""))</f>
        <v/>
      </c>
      <c r="AK222" s="53" t="str">
        <f aca="false">IF(OR(AJ222="",AE222=""),"",AJ222-AE222)</f>
        <v/>
      </c>
      <c r="AL222" s="54" t="str">
        <f aca="false">IF(OR(AH222="",AF222=""),"",AH222-AF222)</f>
        <v/>
      </c>
      <c r="AM222" s="55" t="str">
        <f aca="false">IF(OR(A222="",K222&lt;&gt;"SI"),"",IF(AE222="","Sin objetivo",IF(AJ222="","Faltan datos",IF(AJ222&lt;0,"PÉRDIDA",IF(AK222&lt;-UMB_CRITICO,"MUY POR DEBAJO",IF(AK222&lt;-UMB_BAJO,"POR DEBAJO",IF(AK222&lt;-UMB_AJUSTADO,"AJUSTADO",IF(AK222&lt;=UMB_ALTO,"EN OBJETIVO","POR ENCIMA"))))))))</f>
        <v/>
      </c>
      <c r="AN222" s="44"/>
      <c r="AO222" s="44"/>
      <c r="AP222" s="46"/>
      <c r="AQ222" s="46"/>
      <c r="AR222" s="46"/>
      <c r="AS222" s="44"/>
      <c r="AT222" s="44"/>
      <c r="AU222" s="44"/>
      <c r="AV222" s="44"/>
      <c r="AW222" s="44"/>
      <c r="AX222" s="45"/>
      <c r="AY222" s="44"/>
      <c r="AZ222" s="56"/>
      <c r="BA222" s="45"/>
    </row>
    <row r="223" customFormat="false" ht="15" hidden="false" customHeight="false" outlineLevel="0" collapsed="false">
      <c r="A223" s="44"/>
      <c r="B223" s="44"/>
      <c r="C223" s="45"/>
      <c r="D223" s="45"/>
      <c r="E223" s="44"/>
      <c r="F223" s="44"/>
      <c r="G223" s="44"/>
      <c r="H223" s="44"/>
      <c r="I223" s="44"/>
      <c r="J223" s="44"/>
      <c r="K223" s="44"/>
      <c r="L223" s="44"/>
      <c r="M223" s="44"/>
      <c r="N223" s="44"/>
      <c r="O223" s="46"/>
      <c r="P223" s="44"/>
      <c r="Q223" s="46"/>
      <c r="R223" s="44"/>
      <c r="S223" s="45"/>
      <c r="T223" s="44"/>
      <c r="U223" s="44"/>
      <c r="V223" s="47"/>
      <c r="W223" s="48" t="str">
        <f aca="false">IF(V223="","",IFERROR(V223/O223,""))</f>
        <v/>
      </c>
      <c r="X223" s="44"/>
      <c r="Y223" s="46"/>
      <c r="Z223" s="49"/>
      <c r="AA223" s="44"/>
      <c r="AB223" s="50" t="str">
        <f aca="false">IFERROR(INDEX(TABLA_IVA!$C$3:$C$6,MATCH(AA223,TABLA_IVA!$A$3:$A$6,0)),"")</f>
        <v/>
      </c>
      <c r="AC223" s="47"/>
      <c r="AD223" s="44"/>
      <c r="AE223" s="51"/>
      <c r="AF223" s="52" t="str">
        <f aca="false">IF(OR(AC223="",AE223="",AB223=""),"",IFERROR(AC223/(1-AE223)*(1+AB223),""))</f>
        <v/>
      </c>
      <c r="AG223" s="47"/>
      <c r="AH223" s="52" t="str">
        <f aca="false">IF(AD223="FIJO",IF(AG223="","",AG223),IF(AF223&lt;&gt;"",AF223,IF(AG223="","",AG223)))</f>
        <v/>
      </c>
      <c r="AI223" s="52" t="str">
        <f aca="false">IF(OR(AH223="",AB223=""),"",IFERROR(AH223/(1+AB223),""))</f>
        <v/>
      </c>
      <c r="AJ223" s="50" t="str">
        <f aca="false">IF(OR(AI223="",AC223=""),"",IFERROR((AI223-AC223)/AI223,""))</f>
        <v/>
      </c>
      <c r="AK223" s="53" t="str">
        <f aca="false">IF(OR(AJ223="",AE223=""),"",AJ223-AE223)</f>
        <v/>
      </c>
      <c r="AL223" s="54" t="str">
        <f aca="false">IF(OR(AH223="",AF223=""),"",AH223-AF223)</f>
        <v/>
      </c>
      <c r="AM223" s="55" t="str">
        <f aca="false">IF(OR(A223="",K223&lt;&gt;"SI"),"",IF(AE223="","Sin objetivo",IF(AJ223="","Faltan datos",IF(AJ223&lt;0,"PÉRDIDA",IF(AK223&lt;-UMB_CRITICO,"MUY POR DEBAJO",IF(AK223&lt;-UMB_BAJO,"POR DEBAJO",IF(AK223&lt;-UMB_AJUSTADO,"AJUSTADO",IF(AK223&lt;=UMB_ALTO,"EN OBJETIVO","POR ENCIMA"))))))))</f>
        <v/>
      </c>
      <c r="AN223" s="44"/>
      <c r="AO223" s="44"/>
      <c r="AP223" s="46"/>
      <c r="AQ223" s="46"/>
      <c r="AR223" s="46"/>
      <c r="AS223" s="44"/>
      <c r="AT223" s="44"/>
      <c r="AU223" s="44"/>
      <c r="AV223" s="44"/>
      <c r="AW223" s="44"/>
      <c r="AX223" s="45"/>
      <c r="AY223" s="44"/>
      <c r="AZ223" s="56"/>
      <c r="BA223" s="45"/>
    </row>
    <row r="224" customFormat="false" ht="15" hidden="false" customHeight="false" outlineLevel="0" collapsed="false">
      <c r="A224" s="44"/>
      <c r="B224" s="44"/>
      <c r="C224" s="45"/>
      <c r="D224" s="45"/>
      <c r="E224" s="44"/>
      <c r="F224" s="44"/>
      <c r="G224" s="44"/>
      <c r="H224" s="44"/>
      <c r="I224" s="44"/>
      <c r="J224" s="44"/>
      <c r="K224" s="44"/>
      <c r="L224" s="44"/>
      <c r="M224" s="44"/>
      <c r="N224" s="44"/>
      <c r="O224" s="46"/>
      <c r="P224" s="44"/>
      <c r="Q224" s="46"/>
      <c r="R224" s="44"/>
      <c r="S224" s="45"/>
      <c r="T224" s="44"/>
      <c r="U224" s="44"/>
      <c r="V224" s="47"/>
      <c r="W224" s="48" t="str">
        <f aca="false">IF(V224="","",IFERROR(V224/O224,""))</f>
        <v/>
      </c>
      <c r="X224" s="44"/>
      <c r="Y224" s="46"/>
      <c r="Z224" s="49"/>
      <c r="AA224" s="44"/>
      <c r="AB224" s="50" t="str">
        <f aca="false">IFERROR(INDEX(TABLA_IVA!$C$3:$C$6,MATCH(AA224,TABLA_IVA!$A$3:$A$6,0)),"")</f>
        <v/>
      </c>
      <c r="AC224" s="47"/>
      <c r="AD224" s="44"/>
      <c r="AE224" s="51"/>
      <c r="AF224" s="52" t="str">
        <f aca="false">IF(OR(AC224="",AE224="",AB224=""),"",IFERROR(AC224/(1-AE224)*(1+AB224),""))</f>
        <v/>
      </c>
      <c r="AG224" s="47"/>
      <c r="AH224" s="52" t="str">
        <f aca="false">IF(AD224="FIJO",IF(AG224="","",AG224),IF(AF224&lt;&gt;"",AF224,IF(AG224="","",AG224)))</f>
        <v/>
      </c>
      <c r="AI224" s="52" t="str">
        <f aca="false">IF(OR(AH224="",AB224=""),"",IFERROR(AH224/(1+AB224),""))</f>
        <v/>
      </c>
      <c r="AJ224" s="50" t="str">
        <f aca="false">IF(OR(AI224="",AC224=""),"",IFERROR((AI224-AC224)/AI224,""))</f>
        <v/>
      </c>
      <c r="AK224" s="53" t="str">
        <f aca="false">IF(OR(AJ224="",AE224=""),"",AJ224-AE224)</f>
        <v/>
      </c>
      <c r="AL224" s="54" t="str">
        <f aca="false">IF(OR(AH224="",AF224=""),"",AH224-AF224)</f>
        <v/>
      </c>
      <c r="AM224" s="55" t="str">
        <f aca="false">IF(OR(A224="",K224&lt;&gt;"SI"),"",IF(AE224="","Sin objetivo",IF(AJ224="","Faltan datos",IF(AJ224&lt;0,"PÉRDIDA",IF(AK224&lt;-UMB_CRITICO,"MUY POR DEBAJO",IF(AK224&lt;-UMB_BAJO,"POR DEBAJO",IF(AK224&lt;-UMB_AJUSTADO,"AJUSTADO",IF(AK224&lt;=UMB_ALTO,"EN OBJETIVO","POR ENCIMA"))))))))</f>
        <v/>
      </c>
      <c r="AN224" s="44"/>
      <c r="AO224" s="44"/>
      <c r="AP224" s="46"/>
      <c r="AQ224" s="46"/>
      <c r="AR224" s="46"/>
      <c r="AS224" s="44"/>
      <c r="AT224" s="44"/>
      <c r="AU224" s="44"/>
      <c r="AV224" s="44"/>
      <c r="AW224" s="44"/>
      <c r="AX224" s="45"/>
      <c r="AY224" s="44"/>
      <c r="AZ224" s="56"/>
      <c r="BA224" s="45"/>
    </row>
    <row r="225" customFormat="false" ht="15" hidden="false" customHeight="false" outlineLevel="0" collapsed="false">
      <c r="A225" s="44"/>
      <c r="B225" s="44"/>
      <c r="C225" s="45"/>
      <c r="D225" s="45"/>
      <c r="E225" s="44"/>
      <c r="F225" s="44"/>
      <c r="G225" s="44"/>
      <c r="H225" s="44"/>
      <c r="I225" s="44"/>
      <c r="J225" s="44"/>
      <c r="K225" s="44"/>
      <c r="L225" s="44"/>
      <c r="M225" s="44"/>
      <c r="N225" s="44"/>
      <c r="O225" s="46"/>
      <c r="P225" s="44"/>
      <c r="Q225" s="46"/>
      <c r="R225" s="44"/>
      <c r="S225" s="45"/>
      <c r="T225" s="44"/>
      <c r="U225" s="44"/>
      <c r="V225" s="47"/>
      <c r="W225" s="48" t="str">
        <f aca="false">IF(V225="","",IFERROR(V225/O225,""))</f>
        <v/>
      </c>
      <c r="X225" s="44"/>
      <c r="Y225" s="46"/>
      <c r="Z225" s="49"/>
      <c r="AA225" s="44"/>
      <c r="AB225" s="50" t="str">
        <f aca="false">IFERROR(INDEX(TABLA_IVA!$C$3:$C$6,MATCH(AA225,TABLA_IVA!$A$3:$A$6,0)),"")</f>
        <v/>
      </c>
      <c r="AC225" s="47"/>
      <c r="AD225" s="44"/>
      <c r="AE225" s="51"/>
      <c r="AF225" s="52" t="str">
        <f aca="false">IF(OR(AC225="",AE225="",AB225=""),"",IFERROR(AC225/(1-AE225)*(1+AB225),""))</f>
        <v/>
      </c>
      <c r="AG225" s="47"/>
      <c r="AH225" s="52" t="str">
        <f aca="false">IF(AD225="FIJO",IF(AG225="","",AG225),IF(AF225&lt;&gt;"",AF225,IF(AG225="","",AG225)))</f>
        <v/>
      </c>
      <c r="AI225" s="52" t="str">
        <f aca="false">IF(OR(AH225="",AB225=""),"",IFERROR(AH225/(1+AB225),""))</f>
        <v/>
      </c>
      <c r="AJ225" s="50" t="str">
        <f aca="false">IF(OR(AI225="",AC225=""),"",IFERROR((AI225-AC225)/AI225,""))</f>
        <v/>
      </c>
      <c r="AK225" s="53" t="str">
        <f aca="false">IF(OR(AJ225="",AE225=""),"",AJ225-AE225)</f>
        <v/>
      </c>
      <c r="AL225" s="54" t="str">
        <f aca="false">IF(OR(AH225="",AF225=""),"",AH225-AF225)</f>
        <v/>
      </c>
      <c r="AM225" s="55" t="str">
        <f aca="false">IF(OR(A225="",K225&lt;&gt;"SI"),"",IF(AE225="","Sin objetivo",IF(AJ225="","Faltan datos",IF(AJ225&lt;0,"PÉRDIDA",IF(AK225&lt;-UMB_CRITICO,"MUY POR DEBAJO",IF(AK225&lt;-UMB_BAJO,"POR DEBAJO",IF(AK225&lt;-UMB_AJUSTADO,"AJUSTADO",IF(AK225&lt;=UMB_ALTO,"EN OBJETIVO","POR ENCIMA"))))))))</f>
        <v/>
      </c>
      <c r="AN225" s="44"/>
      <c r="AO225" s="44"/>
      <c r="AP225" s="46"/>
      <c r="AQ225" s="46"/>
      <c r="AR225" s="46"/>
      <c r="AS225" s="44"/>
      <c r="AT225" s="44"/>
      <c r="AU225" s="44"/>
      <c r="AV225" s="44"/>
      <c r="AW225" s="44"/>
      <c r="AX225" s="45"/>
      <c r="AY225" s="44"/>
      <c r="AZ225" s="56"/>
      <c r="BA225" s="45"/>
    </row>
    <row r="226" customFormat="false" ht="15" hidden="false" customHeight="false" outlineLevel="0" collapsed="false">
      <c r="A226" s="44"/>
      <c r="B226" s="44"/>
      <c r="C226" s="45"/>
      <c r="D226" s="45"/>
      <c r="E226" s="44"/>
      <c r="F226" s="44"/>
      <c r="G226" s="44"/>
      <c r="H226" s="44"/>
      <c r="I226" s="44"/>
      <c r="J226" s="44"/>
      <c r="K226" s="44"/>
      <c r="L226" s="44"/>
      <c r="M226" s="44"/>
      <c r="N226" s="44"/>
      <c r="O226" s="46"/>
      <c r="P226" s="44"/>
      <c r="Q226" s="46"/>
      <c r="R226" s="44"/>
      <c r="S226" s="45"/>
      <c r="T226" s="44"/>
      <c r="U226" s="44"/>
      <c r="V226" s="47"/>
      <c r="W226" s="48" t="str">
        <f aca="false">IF(V226="","",IFERROR(V226/O226,""))</f>
        <v/>
      </c>
      <c r="X226" s="44"/>
      <c r="Y226" s="46"/>
      <c r="Z226" s="49"/>
      <c r="AA226" s="44"/>
      <c r="AB226" s="50" t="str">
        <f aca="false">IFERROR(INDEX(TABLA_IVA!$C$3:$C$6,MATCH(AA226,TABLA_IVA!$A$3:$A$6,0)),"")</f>
        <v/>
      </c>
      <c r="AC226" s="47"/>
      <c r="AD226" s="44"/>
      <c r="AE226" s="51"/>
      <c r="AF226" s="52" t="str">
        <f aca="false">IF(OR(AC226="",AE226="",AB226=""),"",IFERROR(AC226/(1-AE226)*(1+AB226),""))</f>
        <v/>
      </c>
      <c r="AG226" s="47"/>
      <c r="AH226" s="52" t="str">
        <f aca="false">IF(AD226="FIJO",IF(AG226="","",AG226),IF(AF226&lt;&gt;"",AF226,IF(AG226="","",AG226)))</f>
        <v/>
      </c>
      <c r="AI226" s="52" t="str">
        <f aca="false">IF(OR(AH226="",AB226=""),"",IFERROR(AH226/(1+AB226),""))</f>
        <v/>
      </c>
      <c r="AJ226" s="50" t="str">
        <f aca="false">IF(OR(AI226="",AC226=""),"",IFERROR((AI226-AC226)/AI226,""))</f>
        <v/>
      </c>
      <c r="AK226" s="53" t="str">
        <f aca="false">IF(OR(AJ226="",AE226=""),"",AJ226-AE226)</f>
        <v/>
      </c>
      <c r="AL226" s="54" t="str">
        <f aca="false">IF(OR(AH226="",AF226=""),"",AH226-AF226)</f>
        <v/>
      </c>
      <c r="AM226" s="55" t="str">
        <f aca="false">IF(OR(A226="",K226&lt;&gt;"SI"),"",IF(AE226="","Sin objetivo",IF(AJ226="","Faltan datos",IF(AJ226&lt;0,"PÉRDIDA",IF(AK226&lt;-UMB_CRITICO,"MUY POR DEBAJO",IF(AK226&lt;-UMB_BAJO,"POR DEBAJO",IF(AK226&lt;-UMB_AJUSTADO,"AJUSTADO",IF(AK226&lt;=UMB_ALTO,"EN OBJETIVO","POR ENCIMA"))))))))</f>
        <v/>
      </c>
      <c r="AN226" s="44"/>
      <c r="AO226" s="44"/>
      <c r="AP226" s="46"/>
      <c r="AQ226" s="46"/>
      <c r="AR226" s="46"/>
      <c r="AS226" s="44"/>
      <c r="AT226" s="44"/>
      <c r="AU226" s="44"/>
      <c r="AV226" s="44"/>
      <c r="AW226" s="44"/>
      <c r="AX226" s="45"/>
      <c r="AY226" s="44"/>
      <c r="AZ226" s="56"/>
      <c r="BA226" s="45"/>
    </row>
    <row r="227" customFormat="false" ht="15" hidden="false" customHeight="false" outlineLevel="0" collapsed="false">
      <c r="A227" s="44"/>
      <c r="B227" s="44"/>
      <c r="C227" s="45"/>
      <c r="D227" s="45"/>
      <c r="E227" s="44"/>
      <c r="F227" s="44"/>
      <c r="G227" s="44"/>
      <c r="H227" s="44"/>
      <c r="I227" s="44"/>
      <c r="J227" s="44"/>
      <c r="K227" s="44"/>
      <c r="L227" s="44"/>
      <c r="M227" s="44"/>
      <c r="N227" s="44"/>
      <c r="O227" s="46"/>
      <c r="P227" s="44"/>
      <c r="Q227" s="46"/>
      <c r="R227" s="44"/>
      <c r="S227" s="45"/>
      <c r="T227" s="44"/>
      <c r="U227" s="44"/>
      <c r="V227" s="47"/>
      <c r="W227" s="48" t="str">
        <f aca="false">IF(V227="","",IFERROR(V227/O227,""))</f>
        <v/>
      </c>
      <c r="X227" s="44"/>
      <c r="Y227" s="46"/>
      <c r="Z227" s="49"/>
      <c r="AA227" s="44"/>
      <c r="AB227" s="50" t="str">
        <f aca="false">IFERROR(INDEX(TABLA_IVA!$C$3:$C$6,MATCH(AA227,TABLA_IVA!$A$3:$A$6,0)),"")</f>
        <v/>
      </c>
      <c r="AC227" s="47"/>
      <c r="AD227" s="44"/>
      <c r="AE227" s="51"/>
      <c r="AF227" s="52" t="str">
        <f aca="false">IF(OR(AC227="",AE227="",AB227=""),"",IFERROR(AC227/(1-AE227)*(1+AB227),""))</f>
        <v/>
      </c>
      <c r="AG227" s="47"/>
      <c r="AH227" s="52" t="str">
        <f aca="false">IF(AD227="FIJO",IF(AG227="","",AG227),IF(AF227&lt;&gt;"",AF227,IF(AG227="","",AG227)))</f>
        <v/>
      </c>
      <c r="AI227" s="52" t="str">
        <f aca="false">IF(OR(AH227="",AB227=""),"",IFERROR(AH227/(1+AB227),""))</f>
        <v/>
      </c>
      <c r="AJ227" s="50" t="str">
        <f aca="false">IF(OR(AI227="",AC227=""),"",IFERROR((AI227-AC227)/AI227,""))</f>
        <v/>
      </c>
      <c r="AK227" s="53" t="str">
        <f aca="false">IF(OR(AJ227="",AE227=""),"",AJ227-AE227)</f>
        <v/>
      </c>
      <c r="AL227" s="54" t="str">
        <f aca="false">IF(OR(AH227="",AF227=""),"",AH227-AF227)</f>
        <v/>
      </c>
      <c r="AM227" s="55" t="str">
        <f aca="false">IF(OR(A227="",K227&lt;&gt;"SI"),"",IF(AE227="","Sin objetivo",IF(AJ227="","Faltan datos",IF(AJ227&lt;0,"PÉRDIDA",IF(AK227&lt;-UMB_CRITICO,"MUY POR DEBAJO",IF(AK227&lt;-UMB_BAJO,"POR DEBAJO",IF(AK227&lt;-UMB_AJUSTADO,"AJUSTADO",IF(AK227&lt;=UMB_ALTO,"EN OBJETIVO","POR ENCIMA"))))))))</f>
        <v/>
      </c>
      <c r="AN227" s="44"/>
      <c r="AO227" s="44"/>
      <c r="AP227" s="46"/>
      <c r="AQ227" s="46"/>
      <c r="AR227" s="46"/>
      <c r="AS227" s="44"/>
      <c r="AT227" s="44"/>
      <c r="AU227" s="44"/>
      <c r="AV227" s="44"/>
      <c r="AW227" s="44"/>
      <c r="AX227" s="45"/>
      <c r="AY227" s="44"/>
      <c r="AZ227" s="56"/>
      <c r="BA227" s="45"/>
    </row>
    <row r="228" customFormat="false" ht="15" hidden="false" customHeight="false" outlineLevel="0" collapsed="false">
      <c r="A228" s="44"/>
      <c r="B228" s="44"/>
      <c r="C228" s="45"/>
      <c r="D228" s="45"/>
      <c r="E228" s="44"/>
      <c r="F228" s="44"/>
      <c r="G228" s="44"/>
      <c r="H228" s="44"/>
      <c r="I228" s="44"/>
      <c r="J228" s="44"/>
      <c r="K228" s="44"/>
      <c r="L228" s="44"/>
      <c r="M228" s="44"/>
      <c r="N228" s="44"/>
      <c r="O228" s="46"/>
      <c r="P228" s="44"/>
      <c r="Q228" s="46"/>
      <c r="R228" s="44"/>
      <c r="S228" s="45"/>
      <c r="T228" s="44"/>
      <c r="U228" s="44"/>
      <c r="V228" s="47"/>
      <c r="W228" s="48" t="str">
        <f aca="false">IF(V228="","",IFERROR(V228/O228,""))</f>
        <v/>
      </c>
      <c r="X228" s="44"/>
      <c r="Y228" s="46"/>
      <c r="Z228" s="49"/>
      <c r="AA228" s="44"/>
      <c r="AB228" s="50" t="str">
        <f aca="false">IFERROR(INDEX(TABLA_IVA!$C$3:$C$6,MATCH(AA228,TABLA_IVA!$A$3:$A$6,0)),"")</f>
        <v/>
      </c>
      <c r="AC228" s="47"/>
      <c r="AD228" s="44"/>
      <c r="AE228" s="51"/>
      <c r="AF228" s="52" t="str">
        <f aca="false">IF(OR(AC228="",AE228="",AB228=""),"",IFERROR(AC228/(1-AE228)*(1+AB228),""))</f>
        <v/>
      </c>
      <c r="AG228" s="47"/>
      <c r="AH228" s="52" t="str">
        <f aca="false">IF(AD228="FIJO",IF(AG228="","",AG228),IF(AF228&lt;&gt;"",AF228,IF(AG228="","",AG228)))</f>
        <v/>
      </c>
      <c r="AI228" s="52" t="str">
        <f aca="false">IF(OR(AH228="",AB228=""),"",IFERROR(AH228/(1+AB228),""))</f>
        <v/>
      </c>
      <c r="AJ228" s="50" t="str">
        <f aca="false">IF(OR(AI228="",AC228=""),"",IFERROR((AI228-AC228)/AI228,""))</f>
        <v/>
      </c>
      <c r="AK228" s="53" t="str">
        <f aca="false">IF(OR(AJ228="",AE228=""),"",AJ228-AE228)</f>
        <v/>
      </c>
      <c r="AL228" s="54" t="str">
        <f aca="false">IF(OR(AH228="",AF228=""),"",AH228-AF228)</f>
        <v/>
      </c>
      <c r="AM228" s="55" t="str">
        <f aca="false">IF(OR(A228="",K228&lt;&gt;"SI"),"",IF(AE228="","Sin objetivo",IF(AJ228="","Faltan datos",IF(AJ228&lt;0,"PÉRDIDA",IF(AK228&lt;-UMB_CRITICO,"MUY POR DEBAJO",IF(AK228&lt;-UMB_BAJO,"POR DEBAJO",IF(AK228&lt;-UMB_AJUSTADO,"AJUSTADO",IF(AK228&lt;=UMB_ALTO,"EN OBJETIVO","POR ENCIMA"))))))))</f>
        <v/>
      </c>
      <c r="AN228" s="44"/>
      <c r="AO228" s="44"/>
      <c r="AP228" s="46"/>
      <c r="AQ228" s="46"/>
      <c r="AR228" s="46"/>
      <c r="AS228" s="44"/>
      <c r="AT228" s="44"/>
      <c r="AU228" s="44"/>
      <c r="AV228" s="44"/>
      <c r="AW228" s="44"/>
      <c r="AX228" s="45"/>
      <c r="AY228" s="44"/>
      <c r="AZ228" s="56"/>
      <c r="BA228" s="45"/>
    </row>
    <row r="229" customFormat="false" ht="15" hidden="false" customHeight="false" outlineLevel="0" collapsed="false">
      <c r="A229" s="44"/>
      <c r="B229" s="44"/>
      <c r="C229" s="45"/>
      <c r="D229" s="45"/>
      <c r="E229" s="44"/>
      <c r="F229" s="44"/>
      <c r="G229" s="44"/>
      <c r="H229" s="44"/>
      <c r="I229" s="44"/>
      <c r="J229" s="44"/>
      <c r="K229" s="44"/>
      <c r="L229" s="44"/>
      <c r="M229" s="44"/>
      <c r="N229" s="44"/>
      <c r="O229" s="46"/>
      <c r="P229" s="44"/>
      <c r="Q229" s="46"/>
      <c r="R229" s="44"/>
      <c r="S229" s="45"/>
      <c r="T229" s="44"/>
      <c r="U229" s="44"/>
      <c r="V229" s="47"/>
      <c r="W229" s="48" t="str">
        <f aca="false">IF(V229="","",IFERROR(V229/O229,""))</f>
        <v/>
      </c>
      <c r="X229" s="44"/>
      <c r="Y229" s="46"/>
      <c r="Z229" s="49"/>
      <c r="AA229" s="44"/>
      <c r="AB229" s="50" t="str">
        <f aca="false">IFERROR(INDEX(TABLA_IVA!$C$3:$C$6,MATCH(AA229,TABLA_IVA!$A$3:$A$6,0)),"")</f>
        <v/>
      </c>
      <c r="AC229" s="47"/>
      <c r="AD229" s="44"/>
      <c r="AE229" s="51"/>
      <c r="AF229" s="52" t="str">
        <f aca="false">IF(OR(AC229="",AE229="",AB229=""),"",IFERROR(AC229/(1-AE229)*(1+AB229),""))</f>
        <v/>
      </c>
      <c r="AG229" s="47"/>
      <c r="AH229" s="52" t="str">
        <f aca="false">IF(AD229="FIJO",IF(AG229="","",AG229),IF(AF229&lt;&gt;"",AF229,IF(AG229="","",AG229)))</f>
        <v/>
      </c>
      <c r="AI229" s="52" t="str">
        <f aca="false">IF(OR(AH229="",AB229=""),"",IFERROR(AH229/(1+AB229),""))</f>
        <v/>
      </c>
      <c r="AJ229" s="50" t="str">
        <f aca="false">IF(OR(AI229="",AC229=""),"",IFERROR((AI229-AC229)/AI229,""))</f>
        <v/>
      </c>
      <c r="AK229" s="53" t="str">
        <f aca="false">IF(OR(AJ229="",AE229=""),"",AJ229-AE229)</f>
        <v/>
      </c>
      <c r="AL229" s="54" t="str">
        <f aca="false">IF(OR(AH229="",AF229=""),"",AH229-AF229)</f>
        <v/>
      </c>
      <c r="AM229" s="55" t="str">
        <f aca="false">IF(OR(A229="",K229&lt;&gt;"SI"),"",IF(AE229="","Sin objetivo",IF(AJ229="","Faltan datos",IF(AJ229&lt;0,"PÉRDIDA",IF(AK229&lt;-UMB_CRITICO,"MUY POR DEBAJO",IF(AK229&lt;-UMB_BAJO,"POR DEBAJO",IF(AK229&lt;-UMB_AJUSTADO,"AJUSTADO",IF(AK229&lt;=UMB_ALTO,"EN OBJETIVO","POR ENCIMA"))))))))</f>
        <v/>
      </c>
      <c r="AN229" s="44"/>
      <c r="AO229" s="44"/>
      <c r="AP229" s="46"/>
      <c r="AQ229" s="46"/>
      <c r="AR229" s="46"/>
      <c r="AS229" s="44"/>
      <c r="AT229" s="44"/>
      <c r="AU229" s="44"/>
      <c r="AV229" s="44"/>
      <c r="AW229" s="44"/>
      <c r="AX229" s="45"/>
      <c r="AY229" s="44"/>
      <c r="AZ229" s="56"/>
      <c r="BA229" s="45"/>
    </row>
    <row r="230" customFormat="false" ht="15" hidden="false" customHeight="false" outlineLevel="0" collapsed="false">
      <c r="A230" s="44"/>
      <c r="B230" s="44"/>
      <c r="C230" s="45"/>
      <c r="D230" s="45"/>
      <c r="E230" s="44"/>
      <c r="F230" s="44"/>
      <c r="G230" s="44"/>
      <c r="H230" s="44"/>
      <c r="I230" s="44"/>
      <c r="J230" s="44"/>
      <c r="K230" s="44"/>
      <c r="L230" s="44"/>
      <c r="M230" s="44"/>
      <c r="N230" s="44"/>
      <c r="O230" s="46"/>
      <c r="P230" s="44"/>
      <c r="Q230" s="46"/>
      <c r="R230" s="44"/>
      <c r="S230" s="45"/>
      <c r="T230" s="44"/>
      <c r="U230" s="44"/>
      <c r="V230" s="47"/>
      <c r="W230" s="48" t="str">
        <f aca="false">IF(V230="","",IFERROR(V230/O230,""))</f>
        <v/>
      </c>
      <c r="X230" s="44"/>
      <c r="Y230" s="46"/>
      <c r="Z230" s="49"/>
      <c r="AA230" s="44"/>
      <c r="AB230" s="50" t="str">
        <f aca="false">IFERROR(INDEX(TABLA_IVA!$C$3:$C$6,MATCH(AA230,TABLA_IVA!$A$3:$A$6,0)),"")</f>
        <v/>
      </c>
      <c r="AC230" s="47"/>
      <c r="AD230" s="44"/>
      <c r="AE230" s="51"/>
      <c r="AF230" s="52" t="str">
        <f aca="false">IF(OR(AC230="",AE230="",AB230=""),"",IFERROR(AC230/(1-AE230)*(1+AB230),""))</f>
        <v/>
      </c>
      <c r="AG230" s="47"/>
      <c r="AH230" s="52" t="str">
        <f aca="false">IF(AD230="FIJO",IF(AG230="","",AG230),IF(AF230&lt;&gt;"",AF230,IF(AG230="","",AG230)))</f>
        <v/>
      </c>
      <c r="AI230" s="52" t="str">
        <f aca="false">IF(OR(AH230="",AB230=""),"",IFERROR(AH230/(1+AB230),""))</f>
        <v/>
      </c>
      <c r="AJ230" s="50" t="str">
        <f aca="false">IF(OR(AI230="",AC230=""),"",IFERROR((AI230-AC230)/AI230,""))</f>
        <v/>
      </c>
      <c r="AK230" s="53" t="str">
        <f aca="false">IF(OR(AJ230="",AE230=""),"",AJ230-AE230)</f>
        <v/>
      </c>
      <c r="AL230" s="54" t="str">
        <f aca="false">IF(OR(AH230="",AF230=""),"",AH230-AF230)</f>
        <v/>
      </c>
      <c r="AM230" s="55" t="str">
        <f aca="false">IF(OR(A230="",K230&lt;&gt;"SI"),"",IF(AE230="","Sin objetivo",IF(AJ230="","Faltan datos",IF(AJ230&lt;0,"PÉRDIDA",IF(AK230&lt;-UMB_CRITICO,"MUY POR DEBAJO",IF(AK230&lt;-UMB_BAJO,"POR DEBAJO",IF(AK230&lt;-UMB_AJUSTADO,"AJUSTADO",IF(AK230&lt;=UMB_ALTO,"EN OBJETIVO","POR ENCIMA"))))))))</f>
        <v/>
      </c>
      <c r="AN230" s="44"/>
      <c r="AO230" s="44"/>
      <c r="AP230" s="46"/>
      <c r="AQ230" s="46"/>
      <c r="AR230" s="46"/>
      <c r="AS230" s="44"/>
      <c r="AT230" s="44"/>
      <c r="AU230" s="44"/>
      <c r="AV230" s="44"/>
      <c r="AW230" s="44"/>
      <c r="AX230" s="45"/>
      <c r="AY230" s="44"/>
      <c r="AZ230" s="56"/>
      <c r="BA230" s="45"/>
    </row>
    <row r="231" customFormat="false" ht="15" hidden="false" customHeight="false" outlineLevel="0" collapsed="false">
      <c r="A231" s="44"/>
      <c r="B231" s="44"/>
      <c r="C231" s="45"/>
      <c r="D231" s="45"/>
      <c r="E231" s="44"/>
      <c r="F231" s="44"/>
      <c r="G231" s="44"/>
      <c r="H231" s="44"/>
      <c r="I231" s="44"/>
      <c r="J231" s="44"/>
      <c r="K231" s="44"/>
      <c r="L231" s="44"/>
      <c r="M231" s="44"/>
      <c r="N231" s="44"/>
      <c r="O231" s="46"/>
      <c r="P231" s="44"/>
      <c r="Q231" s="46"/>
      <c r="R231" s="44"/>
      <c r="S231" s="45"/>
      <c r="T231" s="44"/>
      <c r="U231" s="44"/>
      <c r="V231" s="47"/>
      <c r="W231" s="48" t="str">
        <f aca="false">IF(V231="","",IFERROR(V231/O231,""))</f>
        <v/>
      </c>
      <c r="X231" s="44"/>
      <c r="Y231" s="46"/>
      <c r="Z231" s="49"/>
      <c r="AA231" s="44"/>
      <c r="AB231" s="50" t="str">
        <f aca="false">IFERROR(INDEX(TABLA_IVA!$C$3:$C$6,MATCH(AA231,TABLA_IVA!$A$3:$A$6,0)),"")</f>
        <v/>
      </c>
      <c r="AC231" s="47"/>
      <c r="AD231" s="44"/>
      <c r="AE231" s="51"/>
      <c r="AF231" s="52" t="str">
        <f aca="false">IF(OR(AC231="",AE231="",AB231=""),"",IFERROR(AC231/(1-AE231)*(1+AB231),""))</f>
        <v/>
      </c>
      <c r="AG231" s="47"/>
      <c r="AH231" s="52" t="str">
        <f aca="false">IF(AD231="FIJO",IF(AG231="","",AG231),IF(AF231&lt;&gt;"",AF231,IF(AG231="","",AG231)))</f>
        <v/>
      </c>
      <c r="AI231" s="52" t="str">
        <f aca="false">IF(OR(AH231="",AB231=""),"",IFERROR(AH231/(1+AB231),""))</f>
        <v/>
      </c>
      <c r="AJ231" s="50" t="str">
        <f aca="false">IF(OR(AI231="",AC231=""),"",IFERROR((AI231-AC231)/AI231,""))</f>
        <v/>
      </c>
      <c r="AK231" s="53" t="str">
        <f aca="false">IF(OR(AJ231="",AE231=""),"",AJ231-AE231)</f>
        <v/>
      </c>
      <c r="AL231" s="54" t="str">
        <f aca="false">IF(OR(AH231="",AF231=""),"",AH231-AF231)</f>
        <v/>
      </c>
      <c r="AM231" s="55" t="str">
        <f aca="false">IF(OR(A231="",K231&lt;&gt;"SI"),"",IF(AE231="","Sin objetivo",IF(AJ231="","Faltan datos",IF(AJ231&lt;0,"PÉRDIDA",IF(AK231&lt;-UMB_CRITICO,"MUY POR DEBAJO",IF(AK231&lt;-UMB_BAJO,"POR DEBAJO",IF(AK231&lt;-UMB_AJUSTADO,"AJUSTADO",IF(AK231&lt;=UMB_ALTO,"EN OBJETIVO","POR ENCIMA"))))))))</f>
        <v/>
      </c>
      <c r="AN231" s="44"/>
      <c r="AO231" s="44"/>
      <c r="AP231" s="46"/>
      <c r="AQ231" s="46"/>
      <c r="AR231" s="46"/>
      <c r="AS231" s="44"/>
      <c r="AT231" s="44"/>
      <c r="AU231" s="44"/>
      <c r="AV231" s="44"/>
      <c r="AW231" s="44"/>
      <c r="AX231" s="45"/>
      <c r="AY231" s="44"/>
      <c r="AZ231" s="56"/>
      <c r="BA231" s="45"/>
    </row>
    <row r="232" customFormat="false" ht="15" hidden="false" customHeight="false" outlineLevel="0" collapsed="false">
      <c r="A232" s="44"/>
      <c r="B232" s="44"/>
      <c r="C232" s="45"/>
      <c r="D232" s="45"/>
      <c r="E232" s="44"/>
      <c r="F232" s="44"/>
      <c r="G232" s="44"/>
      <c r="H232" s="44"/>
      <c r="I232" s="44"/>
      <c r="J232" s="44"/>
      <c r="K232" s="44"/>
      <c r="L232" s="44"/>
      <c r="M232" s="44"/>
      <c r="N232" s="44"/>
      <c r="O232" s="46"/>
      <c r="P232" s="44"/>
      <c r="Q232" s="46"/>
      <c r="R232" s="44"/>
      <c r="S232" s="45"/>
      <c r="T232" s="44"/>
      <c r="U232" s="44"/>
      <c r="V232" s="47"/>
      <c r="W232" s="48" t="str">
        <f aca="false">IF(V232="","",IFERROR(V232/O232,""))</f>
        <v/>
      </c>
      <c r="X232" s="44"/>
      <c r="Y232" s="46"/>
      <c r="Z232" s="49"/>
      <c r="AA232" s="44"/>
      <c r="AB232" s="50" t="str">
        <f aca="false">IFERROR(INDEX(TABLA_IVA!$C$3:$C$6,MATCH(AA232,TABLA_IVA!$A$3:$A$6,0)),"")</f>
        <v/>
      </c>
      <c r="AC232" s="47"/>
      <c r="AD232" s="44"/>
      <c r="AE232" s="51"/>
      <c r="AF232" s="52" t="str">
        <f aca="false">IF(OR(AC232="",AE232="",AB232=""),"",IFERROR(AC232/(1-AE232)*(1+AB232),""))</f>
        <v/>
      </c>
      <c r="AG232" s="47"/>
      <c r="AH232" s="52" t="str">
        <f aca="false">IF(AD232="FIJO",IF(AG232="","",AG232),IF(AF232&lt;&gt;"",AF232,IF(AG232="","",AG232)))</f>
        <v/>
      </c>
      <c r="AI232" s="52" t="str">
        <f aca="false">IF(OR(AH232="",AB232=""),"",IFERROR(AH232/(1+AB232),""))</f>
        <v/>
      </c>
      <c r="AJ232" s="50" t="str">
        <f aca="false">IF(OR(AI232="",AC232=""),"",IFERROR((AI232-AC232)/AI232,""))</f>
        <v/>
      </c>
      <c r="AK232" s="53" t="str">
        <f aca="false">IF(OR(AJ232="",AE232=""),"",AJ232-AE232)</f>
        <v/>
      </c>
      <c r="AL232" s="54" t="str">
        <f aca="false">IF(OR(AH232="",AF232=""),"",AH232-AF232)</f>
        <v/>
      </c>
      <c r="AM232" s="55" t="str">
        <f aca="false">IF(OR(A232="",K232&lt;&gt;"SI"),"",IF(AE232="","Sin objetivo",IF(AJ232="","Faltan datos",IF(AJ232&lt;0,"PÉRDIDA",IF(AK232&lt;-UMB_CRITICO,"MUY POR DEBAJO",IF(AK232&lt;-UMB_BAJO,"POR DEBAJO",IF(AK232&lt;-UMB_AJUSTADO,"AJUSTADO",IF(AK232&lt;=UMB_ALTO,"EN OBJETIVO","POR ENCIMA"))))))))</f>
        <v/>
      </c>
      <c r="AN232" s="44"/>
      <c r="AO232" s="44"/>
      <c r="AP232" s="46"/>
      <c r="AQ232" s="46"/>
      <c r="AR232" s="46"/>
      <c r="AS232" s="44"/>
      <c r="AT232" s="44"/>
      <c r="AU232" s="44"/>
      <c r="AV232" s="44"/>
      <c r="AW232" s="44"/>
      <c r="AX232" s="45"/>
      <c r="AY232" s="44"/>
      <c r="AZ232" s="56"/>
      <c r="BA232" s="45"/>
    </row>
    <row r="233" customFormat="false" ht="15" hidden="false" customHeight="false" outlineLevel="0" collapsed="false">
      <c r="A233" s="44"/>
      <c r="B233" s="44"/>
      <c r="C233" s="45"/>
      <c r="D233" s="45"/>
      <c r="E233" s="44"/>
      <c r="F233" s="44"/>
      <c r="G233" s="44"/>
      <c r="H233" s="44"/>
      <c r="I233" s="44"/>
      <c r="J233" s="44"/>
      <c r="K233" s="44"/>
      <c r="L233" s="44"/>
      <c r="M233" s="44"/>
      <c r="N233" s="44"/>
      <c r="O233" s="46"/>
      <c r="P233" s="44"/>
      <c r="Q233" s="46"/>
      <c r="R233" s="44"/>
      <c r="S233" s="45"/>
      <c r="T233" s="44"/>
      <c r="U233" s="44"/>
      <c r="V233" s="47"/>
      <c r="W233" s="48" t="str">
        <f aca="false">IF(V233="","",IFERROR(V233/O233,""))</f>
        <v/>
      </c>
      <c r="X233" s="44"/>
      <c r="Y233" s="46"/>
      <c r="Z233" s="49"/>
      <c r="AA233" s="44"/>
      <c r="AB233" s="50" t="str">
        <f aca="false">IFERROR(INDEX(TABLA_IVA!$C$3:$C$6,MATCH(AA233,TABLA_IVA!$A$3:$A$6,0)),"")</f>
        <v/>
      </c>
      <c r="AC233" s="47"/>
      <c r="AD233" s="44"/>
      <c r="AE233" s="51"/>
      <c r="AF233" s="52" t="str">
        <f aca="false">IF(OR(AC233="",AE233="",AB233=""),"",IFERROR(AC233/(1-AE233)*(1+AB233),""))</f>
        <v/>
      </c>
      <c r="AG233" s="47"/>
      <c r="AH233" s="52" t="str">
        <f aca="false">IF(AD233="FIJO",IF(AG233="","",AG233),IF(AF233&lt;&gt;"",AF233,IF(AG233="","",AG233)))</f>
        <v/>
      </c>
      <c r="AI233" s="52" t="str">
        <f aca="false">IF(OR(AH233="",AB233=""),"",IFERROR(AH233/(1+AB233),""))</f>
        <v/>
      </c>
      <c r="AJ233" s="50" t="str">
        <f aca="false">IF(OR(AI233="",AC233=""),"",IFERROR((AI233-AC233)/AI233,""))</f>
        <v/>
      </c>
      <c r="AK233" s="53" t="str">
        <f aca="false">IF(OR(AJ233="",AE233=""),"",AJ233-AE233)</f>
        <v/>
      </c>
      <c r="AL233" s="54" t="str">
        <f aca="false">IF(OR(AH233="",AF233=""),"",AH233-AF233)</f>
        <v/>
      </c>
      <c r="AM233" s="55" t="str">
        <f aca="false">IF(OR(A233="",K233&lt;&gt;"SI"),"",IF(AE233="","Sin objetivo",IF(AJ233="","Faltan datos",IF(AJ233&lt;0,"PÉRDIDA",IF(AK233&lt;-UMB_CRITICO,"MUY POR DEBAJO",IF(AK233&lt;-UMB_BAJO,"POR DEBAJO",IF(AK233&lt;-UMB_AJUSTADO,"AJUSTADO",IF(AK233&lt;=UMB_ALTO,"EN OBJETIVO","POR ENCIMA"))))))))</f>
        <v/>
      </c>
      <c r="AN233" s="44"/>
      <c r="AO233" s="44"/>
      <c r="AP233" s="46"/>
      <c r="AQ233" s="46"/>
      <c r="AR233" s="46"/>
      <c r="AS233" s="44"/>
      <c r="AT233" s="44"/>
      <c r="AU233" s="44"/>
      <c r="AV233" s="44"/>
      <c r="AW233" s="44"/>
      <c r="AX233" s="45"/>
      <c r="AY233" s="44"/>
      <c r="AZ233" s="56"/>
      <c r="BA233" s="45"/>
    </row>
    <row r="234" customFormat="false" ht="15" hidden="false" customHeight="false" outlineLevel="0" collapsed="false">
      <c r="A234" s="44"/>
      <c r="B234" s="44"/>
      <c r="C234" s="45"/>
      <c r="D234" s="45"/>
      <c r="E234" s="44"/>
      <c r="F234" s="44"/>
      <c r="G234" s="44"/>
      <c r="H234" s="44"/>
      <c r="I234" s="44"/>
      <c r="J234" s="44"/>
      <c r="K234" s="44"/>
      <c r="L234" s="44"/>
      <c r="M234" s="44"/>
      <c r="N234" s="44"/>
      <c r="O234" s="46"/>
      <c r="P234" s="44"/>
      <c r="Q234" s="46"/>
      <c r="R234" s="44"/>
      <c r="S234" s="45"/>
      <c r="T234" s="44"/>
      <c r="U234" s="44"/>
      <c r="V234" s="47"/>
      <c r="W234" s="48" t="str">
        <f aca="false">IF(V234="","",IFERROR(V234/O234,""))</f>
        <v/>
      </c>
      <c r="X234" s="44"/>
      <c r="Y234" s="46"/>
      <c r="Z234" s="49"/>
      <c r="AA234" s="44"/>
      <c r="AB234" s="50" t="str">
        <f aca="false">IFERROR(INDEX(TABLA_IVA!$C$3:$C$6,MATCH(AA234,TABLA_IVA!$A$3:$A$6,0)),"")</f>
        <v/>
      </c>
      <c r="AC234" s="47"/>
      <c r="AD234" s="44"/>
      <c r="AE234" s="51"/>
      <c r="AF234" s="52" t="str">
        <f aca="false">IF(OR(AC234="",AE234="",AB234=""),"",IFERROR(AC234/(1-AE234)*(1+AB234),""))</f>
        <v/>
      </c>
      <c r="AG234" s="47"/>
      <c r="AH234" s="52" t="str">
        <f aca="false">IF(AD234="FIJO",IF(AG234="","",AG234),IF(AF234&lt;&gt;"",AF234,IF(AG234="","",AG234)))</f>
        <v/>
      </c>
      <c r="AI234" s="52" t="str">
        <f aca="false">IF(OR(AH234="",AB234=""),"",IFERROR(AH234/(1+AB234),""))</f>
        <v/>
      </c>
      <c r="AJ234" s="50" t="str">
        <f aca="false">IF(OR(AI234="",AC234=""),"",IFERROR((AI234-AC234)/AI234,""))</f>
        <v/>
      </c>
      <c r="AK234" s="53" t="str">
        <f aca="false">IF(OR(AJ234="",AE234=""),"",AJ234-AE234)</f>
        <v/>
      </c>
      <c r="AL234" s="54" t="str">
        <f aca="false">IF(OR(AH234="",AF234=""),"",AH234-AF234)</f>
        <v/>
      </c>
      <c r="AM234" s="55" t="str">
        <f aca="false">IF(OR(A234="",K234&lt;&gt;"SI"),"",IF(AE234="","Sin objetivo",IF(AJ234="","Faltan datos",IF(AJ234&lt;0,"PÉRDIDA",IF(AK234&lt;-UMB_CRITICO,"MUY POR DEBAJO",IF(AK234&lt;-UMB_BAJO,"POR DEBAJO",IF(AK234&lt;-UMB_AJUSTADO,"AJUSTADO",IF(AK234&lt;=UMB_ALTO,"EN OBJETIVO","POR ENCIMA"))))))))</f>
        <v/>
      </c>
      <c r="AN234" s="44"/>
      <c r="AO234" s="44"/>
      <c r="AP234" s="46"/>
      <c r="AQ234" s="46"/>
      <c r="AR234" s="46"/>
      <c r="AS234" s="44"/>
      <c r="AT234" s="44"/>
      <c r="AU234" s="44"/>
      <c r="AV234" s="44"/>
      <c r="AW234" s="44"/>
      <c r="AX234" s="45"/>
      <c r="AY234" s="44"/>
      <c r="AZ234" s="56"/>
      <c r="BA234" s="45"/>
    </row>
    <row r="235" customFormat="false" ht="15" hidden="false" customHeight="false" outlineLevel="0" collapsed="false">
      <c r="A235" s="44"/>
      <c r="B235" s="44"/>
      <c r="C235" s="45"/>
      <c r="D235" s="45"/>
      <c r="E235" s="44"/>
      <c r="F235" s="44"/>
      <c r="G235" s="44"/>
      <c r="H235" s="44"/>
      <c r="I235" s="44"/>
      <c r="J235" s="44"/>
      <c r="K235" s="44"/>
      <c r="L235" s="44"/>
      <c r="M235" s="44"/>
      <c r="N235" s="44"/>
      <c r="O235" s="46"/>
      <c r="P235" s="44"/>
      <c r="Q235" s="46"/>
      <c r="R235" s="44"/>
      <c r="S235" s="45"/>
      <c r="T235" s="44"/>
      <c r="U235" s="44"/>
      <c r="V235" s="47"/>
      <c r="W235" s="48" t="str">
        <f aca="false">IF(V235="","",IFERROR(V235/O235,""))</f>
        <v/>
      </c>
      <c r="X235" s="44"/>
      <c r="Y235" s="46"/>
      <c r="Z235" s="49"/>
      <c r="AA235" s="44"/>
      <c r="AB235" s="50" t="str">
        <f aca="false">IFERROR(INDEX(TABLA_IVA!$C$3:$C$6,MATCH(AA235,TABLA_IVA!$A$3:$A$6,0)),"")</f>
        <v/>
      </c>
      <c r="AC235" s="47"/>
      <c r="AD235" s="44"/>
      <c r="AE235" s="51"/>
      <c r="AF235" s="52" t="str">
        <f aca="false">IF(OR(AC235="",AE235="",AB235=""),"",IFERROR(AC235/(1-AE235)*(1+AB235),""))</f>
        <v/>
      </c>
      <c r="AG235" s="47"/>
      <c r="AH235" s="52" t="str">
        <f aca="false">IF(AD235="FIJO",IF(AG235="","",AG235),IF(AF235&lt;&gt;"",AF235,IF(AG235="","",AG235)))</f>
        <v/>
      </c>
      <c r="AI235" s="52" t="str">
        <f aca="false">IF(OR(AH235="",AB235=""),"",IFERROR(AH235/(1+AB235),""))</f>
        <v/>
      </c>
      <c r="AJ235" s="50" t="str">
        <f aca="false">IF(OR(AI235="",AC235=""),"",IFERROR((AI235-AC235)/AI235,""))</f>
        <v/>
      </c>
      <c r="AK235" s="53" t="str">
        <f aca="false">IF(OR(AJ235="",AE235=""),"",AJ235-AE235)</f>
        <v/>
      </c>
      <c r="AL235" s="54" t="str">
        <f aca="false">IF(OR(AH235="",AF235=""),"",AH235-AF235)</f>
        <v/>
      </c>
      <c r="AM235" s="55" t="str">
        <f aca="false">IF(OR(A235="",K235&lt;&gt;"SI"),"",IF(AE235="","Sin objetivo",IF(AJ235="","Faltan datos",IF(AJ235&lt;0,"PÉRDIDA",IF(AK235&lt;-UMB_CRITICO,"MUY POR DEBAJO",IF(AK235&lt;-UMB_BAJO,"POR DEBAJO",IF(AK235&lt;-UMB_AJUSTADO,"AJUSTADO",IF(AK235&lt;=UMB_ALTO,"EN OBJETIVO","POR ENCIMA"))))))))</f>
        <v/>
      </c>
      <c r="AN235" s="44"/>
      <c r="AO235" s="44"/>
      <c r="AP235" s="46"/>
      <c r="AQ235" s="46"/>
      <c r="AR235" s="46"/>
      <c r="AS235" s="44"/>
      <c r="AT235" s="44"/>
      <c r="AU235" s="44"/>
      <c r="AV235" s="44"/>
      <c r="AW235" s="44"/>
      <c r="AX235" s="45"/>
      <c r="AY235" s="44"/>
      <c r="AZ235" s="56"/>
      <c r="BA235" s="45"/>
    </row>
    <row r="236" customFormat="false" ht="15" hidden="false" customHeight="false" outlineLevel="0" collapsed="false">
      <c r="A236" s="44"/>
      <c r="B236" s="44"/>
      <c r="C236" s="45"/>
      <c r="D236" s="45"/>
      <c r="E236" s="44"/>
      <c r="F236" s="44"/>
      <c r="G236" s="44"/>
      <c r="H236" s="44"/>
      <c r="I236" s="44"/>
      <c r="J236" s="44"/>
      <c r="K236" s="44"/>
      <c r="L236" s="44"/>
      <c r="M236" s="44"/>
      <c r="N236" s="44"/>
      <c r="O236" s="46"/>
      <c r="P236" s="44"/>
      <c r="Q236" s="46"/>
      <c r="R236" s="44"/>
      <c r="S236" s="45"/>
      <c r="T236" s="44"/>
      <c r="U236" s="44"/>
      <c r="V236" s="47"/>
      <c r="W236" s="48" t="str">
        <f aca="false">IF(V236="","",IFERROR(V236/O236,""))</f>
        <v/>
      </c>
      <c r="X236" s="44"/>
      <c r="Y236" s="46"/>
      <c r="Z236" s="49"/>
      <c r="AA236" s="44"/>
      <c r="AB236" s="50" t="str">
        <f aca="false">IFERROR(INDEX(TABLA_IVA!$C$3:$C$6,MATCH(AA236,TABLA_IVA!$A$3:$A$6,0)),"")</f>
        <v/>
      </c>
      <c r="AC236" s="47"/>
      <c r="AD236" s="44"/>
      <c r="AE236" s="51"/>
      <c r="AF236" s="52" t="str">
        <f aca="false">IF(OR(AC236="",AE236="",AB236=""),"",IFERROR(AC236/(1-AE236)*(1+AB236),""))</f>
        <v/>
      </c>
      <c r="AG236" s="47"/>
      <c r="AH236" s="52" t="str">
        <f aca="false">IF(AD236="FIJO",IF(AG236="","",AG236),IF(AF236&lt;&gt;"",AF236,IF(AG236="","",AG236)))</f>
        <v/>
      </c>
      <c r="AI236" s="52" t="str">
        <f aca="false">IF(OR(AH236="",AB236=""),"",IFERROR(AH236/(1+AB236),""))</f>
        <v/>
      </c>
      <c r="AJ236" s="50" t="str">
        <f aca="false">IF(OR(AI236="",AC236=""),"",IFERROR((AI236-AC236)/AI236,""))</f>
        <v/>
      </c>
      <c r="AK236" s="53" t="str">
        <f aca="false">IF(OR(AJ236="",AE236=""),"",AJ236-AE236)</f>
        <v/>
      </c>
      <c r="AL236" s="54" t="str">
        <f aca="false">IF(OR(AH236="",AF236=""),"",AH236-AF236)</f>
        <v/>
      </c>
      <c r="AM236" s="55" t="str">
        <f aca="false">IF(OR(A236="",K236&lt;&gt;"SI"),"",IF(AE236="","Sin objetivo",IF(AJ236="","Faltan datos",IF(AJ236&lt;0,"PÉRDIDA",IF(AK236&lt;-UMB_CRITICO,"MUY POR DEBAJO",IF(AK236&lt;-UMB_BAJO,"POR DEBAJO",IF(AK236&lt;-UMB_AJUSTADO,"AJUSTADO",IF(AK236&lt;=UMB_ALTO,"EN OBJETIVO","POR ENCIMA"))))))))</f>
        <v/>
      </c>
      <c r="AN236" s="44"/>
      <c r="AO236" s="44"/>
      <c r="AP236" s="46"/>
      <c r="AQ236" s="46"/>
      <c r="AR236" s="46"/>
      <c r="AS236" s="44"/>
      <c r="AT236" s="44"/>
      <c r="AU236" s="44"/>
      <c r="AV236" s="44"/>
      <c r="AW236" s="44"/>
      <c r="AX236" s="45"/>
      <c r="AY236" s="44"/>
      <c r="AZ236" s="56"/>
      <c r="BA236" s="45"/>
    </row>
    <row r="237" customFormat="false" ht="15" hidden="false" customHeight="false" outlineLevel="0" collapsed="false">
      <c r="A237" s="44"/>
      <c r="B237" s="44"/>
      <c r="C237" s="45"/>
      <c r="D237" s="45"/>
      <c r="E237" s="44"/>
      <c r="F237" s="44"/>
      <c r="G237" s="44"/>
      <c r="H237" s="44"/>
      <c r="I237" s="44"/>
      <c r="J237" s="44"/>
      <c r="K237" s="44"/>
      <c r="L237" s="44"/>
      <c r="M237" s="44"/>
      <c r="N237" s="44"/>
      <c r="O237" s="46"/>
      <c r="P237" s="44"/>
      <c r="Q237" s="46"/>
      <c r="R237" s="44"/>
      <c r="S237" s="45"/>
      <c r="T237" s="44"/>
      <c r="U237" s="44"/>
      <c r="V237" s="47"/>
      <c r="W237" s="48" t="str">
        <f aca="false">IF(V237="","",IFERROR(V237/O237,""))</f>
        <v/>
      </c>
      <c r="X237" s="44"/>
      <c r="Y237" s="46"/>
      <c r="Z237" s="49"/>
      <c r="AA237" s="44"/>
      <c r="AB237" s="50" t="str">
        <f aca="false">IFERROR(INDEX(TABLA_IVA!$C$3:$C$6,MATCH(AA237,TABLA_IVA!$A$3:$A$6,0)),"")</f>
        <v/>
      </c>
      <c r="AC237" s="47"/>
      <c r="AD237" s="44"/>
      <c r="AE237" s="51"/>
      <c r="AF237" s="52" t="str">
        <f aca="false">IF(OR(AC237="",AE237="",AB237=""),"",IFERROR(AC237/(1-AE237)*(1+AB237),""))</f>
        <v/>
      </c>
      <c r="AG237" s="47"/>
      <c r="AH237" s="52" t="str">
        <f aca="false">IF(AD237="FIJO",IF(AG237="","",AG237),IF(AF237&lt;&gt;"",AF237,IF(AG237="","",AG237)))</f>
        <v/>
      </c>
      <c r="AI237" s="52" t="str">
        <f aca="false">IF(OR(AH237="",AB237=""),"",IFERROR(AH237/(1+AB237),""))</f>
        <v/>
      </c>
      <c r="AJ237" s="50" t="str">
        <f aca="false">IF(OR(AI237="",AC237=""),"",IFERROR((AI237-AC237)/AI237,""))</f>
        <v/>
      </c>
      <c r="AK237" s="53" t="str">
        <f aca="false">IF(OR(AJ237="",AE237=""),"",AJ237-AE237)</f>
        <v/>
      </c>
      <c r="AL237" s="54" t="str">
        <f aca="false">IF(OR(AH237="",AF237=""),"",AH237-AF237)</f>
        <v/>
      </c>
      <c r="AM237" s="55" t="str">
        <f aca="false">IF(OR(A237="",K237&lt;&gt;"SI"),"",IF(AE237="","Sin objetivo",IF(AJ237="","Faltan datos",IF(AJ237&lt;0,"PÉRDIDA",IF(AK237&lt;-UMB_CRITICO,"MUY POR DEBAJO",IF(AK237&lt;-UMB_BAJO,"POR DEBAJO",IF(AK237&lt;-UMB_AJUSTADO,"AJUSTADO",IF(AK237&lt;=UMB_ALTO,"EN OBJETIVO","POR ENCIMA"))))))))</f>
        <v/>
      </c>
      <c r="AN237" s="44"/>
      <c r="AO237" s="44"/>
      <c r="AP237" s="46"/>
      <c r="AQ237" s="46"/>
      <c r="AR237" s="46"/>
      <c r="AS237" s="44"/>
      <c r="AT237" s="44"/>
      <c r="AU237" s="44"/>
      <c r="AV237" s="44"/>
      <c r="AW237" s="44"/>
      <c r="AX237" s="45"/>
      <c r="AY237" s="44"/>
      <c r="AZ237" s="56"/>
      <c r="BA237" s="45"/>
    </row>
    <row r="238" customFormat="false" ht="15" hidden="false" customHeight="false" outlineLevel="0" collapsed="false">
      <c r="A238" s="44"/>
      <c r="B238" s="44"/>
      <c r="C238" s="45"/>
      <c r="D238" s="45"/>
      <c r="E238" s="44"/>
      <c r="F238" s="44"/>
      <c r="G238" s="44"/>
      <c r="H238" s="44"/>
      <c r="I238" s="44"/>
      <c r="J238" s="44"/>
      <c r="K238" s="44"/>
      <c r="L238" s="44"/>
      <c r="M238" s="44"/>
      <c r="N238" s="44"/>
      <c r="O238" s="46"/>
      <c r="P238" s="44"/>
      <c r="Q238" s="46"/>
      <c r="R238" s="44"/>
      <c r="S238" s="45"/>
      <c r="T238" s="44"/>
      <c r="U238" s="44"/>
      <c r="V238" s="47"/>
      <c r="W238" s="48" t="str">
        <f aca="false">IF(V238="","",IFERROR(V238/O238,""))</f>
        <v/>
      </c>
      <c r="X238" s="44"/>
      <c r="Y238" s="46"/>
      <c r="Z238" s="49"/>
      <c r="AA238" s="44"/>
      <c r="AB238" s="50" t="str">
        <f aca="false">IFERROR(INDEX(TABLA_IVA!$C$3:$C$6,MATCH(AA238,TABLA_IVA!$A$3:$A$6,0)),"")</f>
        <v/>
      </c>
      <c r="AC238" s="47"/>
      <c r="AD238" s="44"/>
      <c r="AE238" s="51"/>
      <c r="AF238" s="52" t="str">
        <f aca="false">IF(OR(AC238="",AE238="",AB238=""),"",IFERROR(AC238/(1-AE238)*(1+AB238),""))</f>
        <v/>
      </c>
      <c r="AG238" s="47"/>
      <c r="AH238" s="52" t="str">
        <f aca="false">IF(AD238="FIJO",IF(AG238="","",AG238),IF(AF238&lt;&gt;"",AF238,IF(AG238="","",AG238)))</f>
        <v/>
      </c>
      <c r="AI238" s="52" t="str">
        <f aca="false">IF(OR(AH238="",AB238=""),"",IFERROR(AH238/(1+AB238),""))</f>
        <v/>
      </c>
      <c r="AJ238" s="50" t="str">
        <f aca="false">IF(OR(AI238="",AC238=""),"",IFERROR((AI238-AC238)/AI238,""))</f>
        <v/>
      </c>
      <c r="AK238" s="53" t="str">
        <f aca="false">IF(OR(AJ238="",AE238=""),"",AJ238-AE238)</f>
        <v/>
      </c>
      <c r="AL238" s="54" t="str">
        <f aca="false">IF(OR(AH238="",AF238=""),"",AH238-AF238)</f>
        <v/>
      </c>
      <c r="AM238" s="55" t="str">
        <f aca="false">IF(OR(A238="",K238&lt;&gt;"SI"),"",IF(AE238="","Sin objetivo",IF(AJ238="","Faltan datos",IF(AJ238&lt;0,"PÉRDIDA",IF(AK238&lt;-UMB_CRITICO,"MUY POR DEBAJO",IF(AK238&lt;-UMB_BAJO,"POR DEBAJO",IF(AK238&lt;-UMB_AJUSTADO,"AJUSTADO",IF(AK238&lt;=UMB_ALTO,"EN OBJETIVO","POR ENCIMA"))))))))</f>
        <v/>
      </c>
      <c r="AN238" s="44"/>
      <c r="AO238" s="44"/>
      <c r="AP238" s="46"/>
      <c r="AQ238" s="46"/>
      <c r="AR238" s="46"/>
      <c r="AS238" s="44"/>
      <c r="AT238" s="44"/>
      <c r="AU238" s="44"/>
      <c r="AV238" s="44"/>
      <c r="AW238" s="44"/>
      <c r="AX238" s="45"/>
      <c r="AY238" s="44"/>
      <c r="AZ238" s="56"/>
      <c r="BA238" s="45"/>
    </row>
    <row r="239" customFormat="false" ht="15" hidden="false" customHeight="false" outlineLevel="0" collapsed="false">
      <c r="A239" s="44"/>
      <c r="B239" s="44"/>
      <c r="C239" s="45"/>
      <c r="D239" s="45"/>
      <c r="E239" s="44"/>
      <c r="F239" s="44"/>
      <c r="G239" s="44"/>
      <c r="H239" s="44"/>
      <c r="I239" s="44"/>
      <c r="J239" s="44"/>
      <c r="K239" s="44"/>
      <c r="L239" s="44"/>
      <c r="M239" s="44"/>
      <c r="N239" s="44"/>
      <c r="O239" s="46"/>
      <c r="P239" s="44"/>
      <c r="Q239" s="46"/>
      <c r="R239" s="44"/>
      <c r="S239" s="45"/>
      <c r="T239" s="44"/>
      <c r="U239" s="44"/>
      <c r="V239" s="47"/>
      <c r="W239" s="48" t="str">
        <f aca="false">IF(V239="","",IFERROR(V239/O239,""))</f>
        <v/>
      </c>
      <c r="X239" s="44"/>
      <c r="Y239" s="46"/>
      <c r="Z239" s="49"/>
      <c r="AA239" s="44"/>
      <c r="AB239" s="50" t="str">
        <f aca="false">IFERROR(INDEX(TABLA_IVA!$C$3:$C$6,MATCH(AA239,TABLA_IVA!$A$3:$A$6,0)),"")</f>
        <v/>
      </c>
      <c r="AC239" s="47"/>
      <c r="AD239" s="44"/>
      <c r="AE239" s="51"/>
      <c r="AF239" s="52" t="str">
        <f aca="false">IF(OR(AC239="",AE239="",AB239=""),"",IFERROR(AC239/(1-AE239)*(1+AB239),""))</f>
        <v/>
      </c>
      <c r="AG239" s="47"/>
      <c r="AH239" s="52" t="str">
        <f aca="false">IF(AD239="FIJO",IF(AG239="","",AG239),IF(AF239&lt;&gt;"",AF239,IF(AG239="","",AG239)))</f>
        <v/>
      </c>
      <c r="AI239" s="52" t="str">
        <f aca="false">IF(OR(AH239="",AB239=""),"",IFERROR(AH239/(1+AB239),""))</f>
        <v/>
      </c>
      <c r="AJ239" s="50" t="str">
        <f aca="false">IF(OR(AI239="",AC239=""),"",IFERROR((AI239-AC239)/AI239,""))</f>
        <v/>
      </c>
      <c r="AK239" s="53" t="str">
        <f aca="false">IF(OR(AJ239="",AE239=""),"",AJ239-AE239)</f>
        <v/>
      </c>
      <c r="AL239" s="54" t="str">
        <f aca="false">IF(OR(AH239="",AF239=""),"",AH239-AF239)</f>
        <v/>
      </c>
      <c r="AM239" s="55" t="str">
        <f aca="false">IF(OR(A239="",K239&lt;&gt;"SI"),"",IF(AE239="","Sin objetivo",IF(AJ239="","Faltan datos",IF(AJ239&lt;0,"PÉRDIDA",IF(AK239&lt;-UMB_CRITICO,"MUY POR DEBAJO",IF(AK239&lt;-UMB_BAJO,"POR DEBAJO",IF(AK239&lt;-UMB_AJUSTADO,"AJUSTADO",IF(AK239&lt;=UMB_ALTO,"EN OBJETIVO","POR ENCIMA"))))))))</f>
        <v/>
      </c>
      <c r="AN239" s="44"/>
      <c r="AO239" s="44"/>
      <c r="AP239" s="46"/>
      <c r="AQ239" s="46"/>
      <c r="AR239" s="46"/>
      <c r="AS239" s="44"/>
      <c r="AT239" s="44"/>
      <c r="AU239" s="44"/>
      <c r="AV239" s="44"/>
      <c r="AW239" s="44"/>
      <c r="AX239" s="45"/>
      <c r="AY239" s="44"/>
      <c r="AZ239" s="56"/>
      <c r="BA239" s="45"/>
    </row>
    <row r="240" customFormat="false" ht="15" hidden="false" customHeight="false" outlineLevel="0" collapsed="false">
      <c r="A240" s="44"/>
      <c r="B240" s="44"/>
      <c r="C240" s="45"/>
      <c r="D240" s="45"/>
      <c r="E240" s="44"/>
      <c r="F240" s="44"/>
      <c r="G240" s="44"/>
      <c r="H240" s="44"/>
      <c r="I240" s="44"/>
      <c r="J240" s="44"/>
      <c r="K240" s="44"/>
      <c r="L240" s="44"/>
      <c r="M240" s="44"/>
      <c r="N240" s="44"/>
      <c r="O240" s="46"/>
      <c r="P240" s="44"/>
      <c r="Q240" s="46"/>
      <c r="R240" s="44"/>
      <c r="S240" s="45"/>
      <c r="T240" s="44"/>
      <c r="U240" s="44"/>
      <c r="V240" s="47"/>
      <c r="W240" s="48" t="str">
        <f aca="false">IF(V240="","",IFERROR(V240/O240,""))</f>
        <v/>
      </c>
      <c r="X240" s="44"/>
      <c r="Y240" s="46"/>
      <c r="Z240" s="49"/>
      <c r="AA240" s="44"/>
      <c r="AB240" s="50" t="str">
        <f aca="false">IFERROR(INDEX(TABLA_IVA!$C$3:$C$6,MATCH(AA240,TABLA_IVA!$A$3:$A$6,0)),"")</f>
        <v/>
      </c>
      <c r="AC240" s="47"/>
      <c r="AD240" s="44"/>
      <c r="AE240" s="51"/>
      <c r="AF240" s="52" t="str">
        <f aca="false">IF(OR(AC240="",AE240="",AB240=""),"",IFERROR(AC240/(1-AE240)*(1+AB240),""))</f>
        <v/>
      </c>
      <c r="AG240" s="47"/>
      <c r="AH240" s="52" t="str">
        <f aca="false">IF(AD240="FIJO",IF(AG240="","",AG240),IF(AF240&lt;&gt;"",AF240,IF(AG240="","",AG240)))</f>
        <v/>
      </c>
      <c r="AI240" s="52" t="str">
        <f aca="false">IF(OR(AH240="",AB240=""),"",IFERROR(AH240/(1+AB240),""))</f>
        <v/>
      </c>
      <c r="AJ240" s="50" t="str">
        <f aca="false">IF(OR(AI240="",AC240=""),"",IFERROR((AI240-AC240)/AI240,""))</f>
        <v/>
      </c>
      <c r="AK240" s="53" t="str">
        <f aca="false">IF(OR(AJ240="",AE240=""),"",AJ240-AE240)</f>
        <v/>
      </c>
      <c r="AL240" s="54" t="str">
        <f aca="false">IF(OR(AH240="",AF240=""),"",AH240-AF240)</f>
        <v/>
      </c>
      <c r="AM240" s="55" t="str">
        <f aca="false">IF(OR(A240="",K240&lt;&gt;"SI"),"",IF(AE240="","Sin objetivo",IF(AJ240="","Faltan datos",IF(AJ240&lt;0,"PÉRDIDA",IF(AK240&lt;-UMB_CRITICO,"MUY POR DEBAJO",IF(AK240&lt;-UMB_BAJO,"POR DEBAJO",IF(AK240&lt;-UMB_AJUSTADO,"AJUSTADO",IF(AK240&lt;=UMB_ALTO,"EN OBJETIVO","POR ENCIMA"))))))))</f>
        <v/>
      </c>
      <c r="AN240" s="44"/>
      <c r="AO240" s="44"/>
      <c r="AP240" s="46"/>
      <c r="AQ240" s="46"/>
      <c r="AR240" s="46"/>
      <c r="AS240" s="44"/>
      <c r="AT240" s="44"/>
      <c r="AU240" s="44"/>
      <c r="AV240" s="44"/>
      <c r="AW240" s="44"/>
      <c r="AX240" s="45"/>
      <c r="AY240" s="44"/>
      <c r="AZ240" s="56"/>
      <c r="BA240" s="45"/>
    </row>
    <row r="241" customFormat="false" ht="15" hidden="false" customHeight="false" outlineLevel="0" collapsed="false">
      <c r="A241" s="44"/>
      <c r="B241" s="44"/>
      <c r="C241" s="45"/>
      <c r="D241" s="45"/>
      <c r="E241" s="44"/>
      <c r="F241" s="44"/>
      <c r="G241" s="44"/>
      <c r="H241" s="44"/>
      <c r="I241" s="44"/>
      <c r="J241" s="44"/>
      <c r="K241" s="44"/>
      <c r="L241" s="44"/>
      <c r="M241" s="44"/>
      <c r="N241" s="44"/>
      <c r="O241" s="46"/>
      <c r="P241" s="44"/>
      <c r="Q241" s="46"/>
      <c r="R241" s="44"/>
      <c r="S241" s="45"/>
      <c r="T241" s="44"/>
      <c r="U241" s="44"/>
      <c r="V241" s="47"/>
      <c r="W241" s="48" t="str">
        <f aca="false">IF(V241="","",IFERROR(V241/O241,""))</f>
        <v/>
      </c>
      <c r="X241" s="44"/>
      <c r="Y241" s="46"/>
      <c r="Z241" s="49"/>
      <c r="AA241" s="44"/>
      <c r="AB241" s="50" t="str">
        <f aca="false">IFERROR(INDEX(TABLA_IVA!$C$3:$C$6,MATCH(AA241,TABLA_IVA!$A$3:$A$6,0)),"")</f>
        <v/>
      </c>
      <c r="AC241" s="47"/>
      <c r="AD241" s="44"/>
      <c r="AE241" s="51"/>
      <c r="AF241" s="52" t="str">
        <f aca="false">IF(OR(AC241="",AE241="",AB241=""),"",IFERROR(AC241/(1-AE241)*(1+AB241),""))</f>
        <v/>
      </c>
      <c r="AG241" s="47"/>
      <c r="AH241" s="52" t="str">
        <f aca="false">IF(AD241="FIJO",IF(AG241="","",AG241),IF(AF241&lt;&gt;"",AF241,IF(AG241="","",AG241)))</f>
        <v/>
      </c>
      <c r="AI241" s="52" t="str">
        <f aca="false">IF(OR(AH241="",AB241=""),"",IFERROR(AH241/(1+AB241),""))</f>
        <v/>
      </c>
      <c r="AJ241" s="50" t="str">
        <f aca="false">IF(OR(AI241="",AC241=""),"",IFERROR((AI241-AC241)/AI241,""))</f>
        <v/>
      </c>
      <c r="AK241" s="53" t="str">
        <f aca="false">IF(OR(AJ241="",AE241=""),"",AJ241-AE241)</f>
        <v/>
      </c>
      <c r="AL241" s="54" t="str">
        <f aca="false">IF(OR(AH241="",AF241=""),"",AH241-AF241)</f>
        <v/>
      </c>
      <c r="AM241" s="55" t="str">
        <f aca="false">IF(OR(A241="",K241&lt;&gt;"SI"),"",IF(AE241="","Sin objetivo",IF(AJ241="","Faltan datos",IF(AJ241&lt;0,"PÉRDIDA",IF(AK241&lt;-UMB_CRITICO,"MUY POR DEBAJO",IF(AK241&lt;-UMB_BAJO,"POR DEBAJO",IF(AK241&lt;-UMB_AJUSTADO,"AJUSTADO",IF(AK241&lt;=UMB_ALTO,"EN OBJETIVO","POR ENCIMA"))))))))</f>
        <v/>
      </c>
      <c r="AN241" s="44"/>
      <c r="AO241" s="44"/>
      <c r="AP241" s="46"/>
      <c r="AQ241" s="46"/>
      <c r="AR241" s="46"/>
      <c r="AS241" s="44"/>
      <c r="AT241" s="44"/>
      <c r="AU241" s="44"/>
      <c r="AV241" s="44"/>
      <c r="AW241" s="44"/>
      <c r="AX241" s="45"/>
      <c r="AY241" s="44"/>
      <c r="AZ241" s="56"/>
      <c r="BA241" s="45"/>
    </row>
    <row r="242" customFormat="false" ht="15" hidden="false" customHeight="false" outlineLevel="0" collapsed="false">
      <c r="A242" s="44"/>
      <c r="B242" s="44"/>
      <c r="C242" s="45"/>
      <c r="D242" s="45"/>
      <c r="E242" s="44"/>
      <c r="F242" s="44"/>
      <c r="G242" s="44"/>
      <c r="H242" s="44"/>
      <c r="I242" s="44"/>
      <c r="J242" s="44"/>
      <c r="K242" s="44"/>
      <c r="L242" s="44"/>
      <c r="M242" s="44"/>
      <c r="N242" s="44"/>
      <c r="O242" s="46"/>
      <c r="P242" s="44"/>
      <c r="Q242" s="46"/>
      <c r="R242" s="44"/>
      <c r="S242" s="45"/>
      <c r="T242" s="44"/>
      <c r="U242" s="44"/>
      <c r="V242" s="47"/>
      <c r="W242" s="48" t="str">
        <f aca="false">IF(V242="","",IFERROR(V242/O242,""))</f>
        <v/>
      </c>
      <c r="X242" s="44"/>
      <c r="Y242" s="46"/>
      <c r="Z242" s="49"/>
      <c r="AA242" s="44"/>
      <c r="AB242" s="50" t="str">
        <f aca="false">IFERROR(INDEX(TABLA_IVA!$C$3:$C$6,MATCH(AA242,TABLA_IVA!$A$3:$A$6,0)),"")</f>
        <v/>
      </c>
      <c r="AC242" s="47"/>
      <c r="AD242" s="44"/>
      <c r="AE242" s="51"/>
      <c r="AF242" s="52" t="str">
        <f aca="false">IF(OR(AC242="",AE242="",AB242=""),"",IFERROR(AC242/(1-AE242)*(1+AB242),""))</f>
        <v/>
      </c>
      <c r="AG242" s="47"/>
      <c r="AH242" s="52" t="str">
        <f aca="false">IF(AD242="FIJO",IF(AG242="","",AG242),IF(AF242&lt;&gt;"",AF242,IF(AG242="","",AG242)))</f>
        <v/>
      </c>
      <c r="AI242" s="52" t="str">
        <f aca="false">IF(OR(AH242="",AB242=""),"",IFERROR(AH242/(1+AB242),""))</f>
        <v/>
      </c>
      <c r="AJ242" s="50" t="str">
        <f aca="false">IF(OR(AI242="",AC242=""),"",IFERROR((AI242-AC242)/AI242,""))</f>
        <v/>
      </c>
      <c r="AK242" s="53" t="str">
        <f aca="false">IF(OR(AJ242="",AE242=""),"",AJ242-AE242)</f>
        <v/>
      </c>
      <c r="AL242" s="54" t="str">
        <f aca="false">IF(OR(AH242="",AF242=""),"",AH242-AF242)</f>
        <v/>
      </c>
      <c r="AM242" s="55" t="str">
        <f aca="false">IF(OR(A242="",K242&lt;&gt;"SI"),"",IF(AE242="","Sin objetivo",IF(AJ242="","Faltan datos",IF(AJ242&lt;0,"PÉRDIDA",IF(AK242&lt;-UMB_CRITICO,"MUY POR DEBAJO",IF(AK242&lt;-UMB_BAJO,"POR DEBAJO",IF(AK242&lt;-UMB_AJUSTADO,"AJUSTADO",IF(AK242&lt;=UMB_ALTO,"EN OBJETIVO","POR ENCIMA"))))))))</f>
        <v/>
      </c>
      <c r="AN242" s="44"/>
      <c r="AO242" s="44"/>
      <c r="AP242" s="46"/>
      <c r="AQ242" s="46"/>
      <c r="AR242" s="46"/>
      <c r="AS242" s="44"/>
      <c r="AT242" s="44"/>
      <c r="AU242" s="44"/>
      <c r="AV242" s="44"/>
      <c r="AW242" s="44"/>
      <c r="AX242" s="45"/>
      <c r="AY242" s="44"/>
      <c r="AZ242" s="56"/>
      <c r="BA242" s="45"/>
    </row>
    <row r="243" customFormat="false" ht="15" hidden="false" customHeight="false" outlineLevel="0" collapsed="false">
      <c r="A243" s="44"/>
      <c r="B243" s="44"/>
      <c r="C243" s="45"/>
      <c r="D243" s="45"/>
      <c r="E243" s="44"/>
      <c r="F243" s="44"/>
      <c r="G243" s="44"/>
      <c r="H243" s="44"/>
      <c r="I243" s="44"/>
      <c r="J243" s="44"/>
      <c r="K243" s="44"/>
      <c r="L243" s="44"/>
      <c r="M243" s="44"/>
      <c r="N243" s="44"/>
      <c r="O243" s="46"/>
      <c r="P243" s="44"/>
      <c r="Q243" s="46"/>
      <c r="R243" s="44"/>
      <c r="S243" s="45"/>
      <c r="T243" s="44"/>
      <c r="U243" s="44"/>
      <c r="V243" s="47"/>
      <c r="W243" s="48" t="str">
        <f aca="false">IF(V243="","",IFERROR(V243/O243,""))</f>
        <v/>
      </c>
      <c r="X243" s="44"/>
      <c r="Y243" s="46"/>
      <c r="Z243" s="49"/>
      <c r="AA243" s="44"/>
      <c r="AB243" s="50" t="str">
        <f aca="false">IFERROR(INDEX(TABLA_IVA!$C$3:$C$6,MATCH(AA243,TABLA_IVA!$A$3:$A$6,0)),"")</f>
        <v/>
      </c>
      <c r="AC243" s="47"/>
      <c r="AD243" s="44"/>
      <c r="AE243" s="51"/>
      <c r="AF243" s="52" t="str">
        <f aca="false">IF(OR(AC243="",AE243="",AB243=""),"",IFERROR(AC243/(1-AE243)*(1+AB243),""))</f>
        <v/>
      </c>
      <c r="AG243" s="47"/>
      <c r="AH243" s="52" t="str">
        <f aca="false">IF(AD243="FIJO",IF(AG243="","",AG243),IF(AF243&lt;&gt;"",AF243,IF(AG243="","",AG243)))</f>
        <v/>
      </c>
      <c r="AI243" s="52" t="str">
        <f aca="false">IF(OR(AH243="",AB243=""),"",IFERROR(AH243/(1+AB243),""))</f>
        <v/>
      </c>
      <c r="AJ243" s="50" t="str">
        <f aca="false">IF(OR(AI243="",AC243=""),"",IFERROR((AI243-AC243)/AI243,""))</f>
        <v/>
      </c>
      <c r="AK243" s="53" t="str">
        <f aca="false">IF(OR(AJ243="",AE243=""),"",AJ243-AE243)</f>
        <v/>
      </c>
      <c r="AL243" s="54" t="str">
        <f aca="false">IF(OR(AH243="",AF243=""),"",AH243-AF243)</f>
        <v/>
      </c>
      <c r="AM243" s="55" t="str">
        <f aca="false">IF(OR(A243="",K243&lt;&gt;"SI"),"",IF(AE243="","Sin objetivo",IF(AJ243="","Faltan datos",IF(AJ243&lt;0,"PÉRDIDA",IF(AK243&lt;-UMB_CRITICO,"MUY POR DEBAJO",IF(AK243&lt;-UMB_BAJO,"POR DEBAJO",IF(AK243&lt;-UMB_AJUSTADO,"AJUSTADO",IF(AK243&lt;=UMB_ALTO,"EN OBJETIVO","POR ENCIMA"))))))))</f>
        <v/>
      </c>
      <c r="AN243" s="44"/>
      <c r="AO243" s="44"/>
      <c r="AP243" s="46"/>
      <c r="AQ243" s="46"/>
      <c r="AR243" s="46"/>
      <c r="AS243" s="44"/>
      <c r="AT243" s="44"/>
      <c r="AU243" s="44"/>
      <c r="AV243" s="44"/>
      <c r="AW243" s="44"/>
      <c r="AX243" s="45"/>
      <c r="AY243" s="44"/>
      <c r="AZ243" s="56"/>
      <c r="BA243" s="45"/>
    </row>
    <row r="244" customFormat="false" ht="15" hidden="false" customHeight="false" outlineLevel="0" collapsed="false">
      <c r="A244" s="44"/>
      <c r="B244" s="44"/>
      <c r="C244" s="45"/>
      <c r="D244" s="45"/>
      <c r="E244" s="44"/>
      <c r="F244" s="44"/>
      <c r="G244" s="44"/>
      <c r="H244" s="44"/>
      <c r="I244" s="44"/>
      <c r="J244" s="44"/>
      <c r="K244" s="44"/>
      <c r="L244" s="44"/>
      <c r="M244" s="44"/>
      <c r="N244" s="44"/>
      <c r="O244" s="46"/>
      <c r="P244" s="44"/>
      <c r="Q244" s="46"/>
      <c r="R244" s="44"/>
      <c r="S244" s="45"/>
      <c r="T244" s="44"/>
      <c r="U244" s="44"/>
      <c r="V244" s="47"/>
      <c r="W244" s="48" t="str">
        <f aca="false">IF(V244="","",IFERROR(V244/O244,""))</f>
        <v/>
      </c>
      <c r="X244" s="44"/>
      <c r="Y244" s="46"/>
      <c r="Z244" s="49"/>
      <c r="AA244" s="44"/>
      <c r="AB244" s="50" t="str">
        <f aca="false">IFERROR(INDEX(TABLA_IVA!$C$3:$C$6,MATCH(AA244,TABLA_IVA!$A$3:$A$6,0)),"")</f>
        <v/>
      </c>
      <c r="AC244" s="47"/>
      <c r="AD244" s="44"/>
      <c r="AE244" s="51"/>
      <c r="AF244" s="52" t="str">
        <f aca="false">IF(OR(AC244="",AE244="",AB244=""),"",IFERROR(AC244/(1-AE244)*(1+AB244),""))</f>
        <v/>
      </c>
      <c r="AG244" s="47"/>
      <c r="AH244" s="52" t="str">
        <f aca="false">IF(AD244="FIJO",IF(AG244="","",AG244),IF(AF244&lt;&gt;"",AF244,IF(AG244="","",AG244)))</f>
        <v/>
      </c>
      <c r="AI244" s="52" t="str">
        <f aca="false">IF(OR(AH244="",AB244=""),"",IFERROR(AH244/(1+AB244),""))</f>
        <v/>
      </c>
      <c r="AJ244" s="50" t="str">
        <f aca="false">IF(OR(AI244="",AC244=""),"",IFERROR((AI244-AC244)/AI244,""))</f>
        <v/>
      </c>
      <c r="AK244" s="53" t="str">
        <f aca="false">IF(OR(AJ244="",AE244=""),"",AJ244-AE244)</f>
        <v/>
      </c>
      <c r="AL244" s="54" t="str">
        <f aca="false">IF(OR(AH244="",AF244=""),"",AH244-AF244)</f>
        <v/>
      </c>
      <c r="AM244" s="55" t="str">
        <f aca="false">IF(OR(A244="",K244&lt;&gt;"SI"),"",IF(AE244="","Sin objetivo",IF(AJ244="","Faltan datos",IF(AJ244&lt;0,"PÉRDIDA",IF(AK244&lt;-UMB_CRITICO,"MUY POR DEBAJO",IF(AK244&lt;-UMB_BAJO,"POR DEBAJO",IF(AK244&lt;-UMB_AJUSTADO,"AJUSTADO",IF(AK244&lt;=UMB_ALTO,"EN OBJETIVO","POR ENCIMA"))))))))</f>
        <v/>
      </c>
      <c r="AN244" s="44"/>
      <c r="AO244" s="44"/>
      <c r="AP244" s="46"/>
      <c r="AQ244" s="46"/>
      <c r="AR244" s="46"/>
      <c r="AS244" s="44"/>
      <c r="AT244" s="44"/>
      <c r="AU244" s="44"/>
      <c r="AV244" s="44"/>
      <c r="AW244" s="44"/>
      <c r="AX244" s="45"/>
      <c r="AY244" s="44"/>
      <c r="AZ244" s="56"/>
      <c r="BA244" s="45"/>
    </row>
    <row r="245" customFormat="false" ht="15" hidden="false" customHeight="false" outlineLevel="0" collapsed="false">
      <c r="A245" s="44"/>
      <c r="B245" s="44"/>
      <c r="C245" s="45"/>
      <c r="D245" s="45"/>
      <c r="E245" s="44"/>
      <c r="F245" s="44"/>
      <c r="G245" s="44"/>
      <c r="H245" s="44"/>
      <c r="I245" s="44"/>
      <c r="J245" s="44"/>
      <c r="K245" s="44"/>
      <c r="L245" s="44"/>
      <c r="M245" s="44"/>
      <c r="N245" s="44"/>
      <c r="O245" s="46"/>
      <c r="P245" s="44"/>
      <c r="Q245" s="46"/>
      <c r="R245" s="44"/>
      <c r="S245" s="45"/>
      <c r="T245" s="44"/>
      <c r="U245" s="44"/>
      <c r="V245" s="47"/>
      <c r="W245" s="48" t="str">
        <f aca="false">IF(V245="","",IFERROR(V245/O245,""))</f>
        <v/>
      </c>
      <c r="X245" s="44"/>
      <c r="Y245" s="46"/>
      <c r="Z245" s="49"/>
      <c r="AA245" s="44"/>
      <c r="AB245" s="50" t="str">
        <f aca="false">IFERROR(INDEX(TABLA_IVA!$C$3:$C$6,MATCH(AA245,TABLA_IVA!$A$3:$A$6,0)),"")</f>
        <v/>
      </c>
      <c r="AC245" s="47"/>
      <c r="AD245" s="44"/>
      <c r="AE245" s="51"/>
      <c r="AF245" s="52" t="str">
        <f aca="false">IF(OR(AC245="",AE245="",AB245=""),"",IFERROR(AC245/(1-AE245)*(1+AB245),""))</f>
        <v/>
      </c>
      <c r="AG245" s="47"/>
      <c r="AH245" s="52" t="str">
        <f aca="false">IF(AD245="FIJO",IF(AG245="","",AG245),IF(AF245&lt;&gt;"",AF245,IF(AG245="","",AG245)))</f>
        <v/>
      </c>
      <c r="AI245" s="52" t="str">
        <f aca="false">IF(OR(AH245="",AB245=""),"",IFERROR(AH245/(1+AB245),""))</f>
        <v/>
      </c>
      <c r="AJ245" s="50" t="str">
        <f aca="false">IF(OR(AI245="",AC245=""),"",IFERROR((AI245-AC245)/AI245,""))</f>
        <v/>
      </c>
      <c r="AK245" s="53" t="str">
        <f aca="false">IF(OR(AJ245="",AE245=""),"",AJ245-AE245)</f>
        <v/>
      </c>
      <c r="AL245" s="54" t="str">
        <f aca="false">IF(OR(AH245="",AF245=""),"",AH245-AF245)</f>
        <v/>
      </c>
      <c r="AM245" s="55" t="str">
        <f aca="false">IF(OR(A245="",K245&lt;&gt;"SI"),"",IF(AE245="","Sin objetivo",IF(AJ245="","Faltan datos",IF(AJ245&lt;0,"PÉRDIDA",IF(AK245&lt;-UMB_CRITICO,"MUY POR DEBAJO",IF(AK245&lt;-UMB_BAJO,"POR DEBAJO",IF(AK245&lt;-UMB_AJUSTADO,"AJUSTADO",IF(AK245&lt;=UMB_ALTO,"EN OBJETIVO","POR ENCIMA"))))))))</f>
        <v/>
      </c>
      <c r="AN245" s="44"/>
      <c r="AO245" s="44"/>
      <c r="AP245" s="46"/>
      <c r="AQ245" s="46"/>
      <c r="AR245" s="46"/>
      <c r="AS245" s="44"/>
      <c r="AT245" s="44"/>
      <c r="AU245" s="44"/>
      <c r="AV245" s="44"/>
      <c r="AW245" s="44"/>
      <c r="AX245" s="45"/>
      <c r="AY245" s="44"/>
      <c r="AZ245" s="56"/>
      <c r="BA245" s="45"/>
    </row>
    <row r="246" customFormat="false" ht="15" hidden="false" customHeight="false" outlineLevel="0" collapsed="false">
      <c r="A246" s="44"/>
      <c r="B246" s="44"/>
      <c r="C246" s="45"/>
      <c r="D246" s="45"/>
      <c r="E246" s="44"/>
      <c r="F246" s="44"/>
      <c r="G246" s="44"/>
      <c r="H246" s="44"/>
      <c r="I246" s="44"/>
      <c r="J246" s="44"/>
      <c r="K246" s="44"/>
      <c r="L246" s="44"/>
      <c r="M246" s="44"/>
      <c r="N246" s="44"/>
      <c r="O246" s="46"/>
      <c r="P246" s="44"/>
      <c r="Q246" s="46"/>
      <c r="R246" s="44"/>
      <c r="S246" s="45"/>
      <c r="T246" s="44"/>
      <c r="U246" s="44"/>
      <c r="V246" s="47"/>
      <c r="W246" s="48" t="str">
        <f aca="false">IF(V246="","",IFERROR(V246/O246,""))</f>
        <v/>
      </c>
      <c r="X246" s="44"/>
      <c r="Y246" s="46"/>
      <c r="Z246" s="49"/>
      <c r="AA246" s="44"/>
      <c r="AB246" s="50" t="str">
        <f aca="false">IFERROR(INDEX(TABLA_IVA!$C$3:$C$6,MATCH(AA246,TABLA_IVA!$A$3:$A$6,0)),"")</f>
        <v/>
      </c>
      <c r="AC246" s="47"/>
      <c r="AD246" s="44"/>
      <c r="AE246" s="51"/>
      <c r="AF246" s="52" t="str">
        <f aca="false">IF(OR(AC246="",AE246="",AB246=""),"",IFERROR(AC246/(1-AE246)*(1+AB246),""))</f>
        <v/>
      </c>
      <c r="AG246" s="47"/>
      <c r="AH246" s="52" t="str">
        <f aca="false">IF(AD246="FIJO",IF(AG246="","",AG246),IF(AF246&lt;&gt;"",AF246,IF(AG246="","",AG246)))</f>
        <v/>
      </c>
      <c r="AI246" s="52" t="str">
        <f aca="false">IF(OR(AH246="",AB246=""),"",IFERROR(AH246/(1+AB246),""))</f>
        <v/>
      </c>
      <c r="AJ246" s="50" t="str">
        <f aca="false">IF(OR(AI246="",AC246=""),"",IFERROR((AI246-AC246)/AI246,""))</f>
        <v/>
      </c>
      <c r="AK246" s="53" t="str">
        <f aca="false">IF(OR(AJ246="",AE246=""),"",AJ246-AE246)</f>
        <v/>
      </c>
      <c r="AL246" s="54" t="str">
        <f aca="false">IF(OR(AH246="",AF246=""),"",AH246-AF246)</f>
        <v/>
      </c>
      <c r="AM246" s="55" t="str">
        <f aca="false">IF(OR(A246="",K246&lt;&gt;"SI"),"",IF(AE246="","Sin objetivo",IF(AJ246="","Faltan datos",IF(AJ246&lt;0,"PÉRDIDA",IF(AK246&lt;-UMB_CRITICO,"MUY POR DEBAJO",IF(AK246&lt;-UMB_BAJO,"POR DEBAJO",IF(AK246&lt;-UMB_AJUSTADO,"AJUSTADO",IF(AK246&lt;=UMB_ALTO,"EN OBJETIVO","POR ENCIMA"))))))))</f>
        <v/>
      </c>
      <c r="AN246" s="44"/>
      <c r="AO246" s="44"/>
      <c r="AP246" s="46"/>
      <c r="AQ246" s="46"/>
      <c r="AR246" s="46"/>
      <c r="AS246" s="44"/>
      <c r="AT246" s="44"/>
      <c r="AU246" s="44"/>
      <c r="AV246" s="44"/>
      <c r="AW246" s="44"/>
      <c r="AX246" s="45"/>
      <c r="AY246" s="44"/>
      <c r="AZ246" s="56"/>
      <c r="BA246" s="45"/>
    </row>
    <row r="247" customFormat="false" ht="15" hidden="false" customHeight="false" outlineLevel="0" collapsed="false">
      <c r="A247" s="44"/>
      <c r="B247" s="44"/>
      <c r="C247" s="45"/>
      <c r="D247" s="45"/>
      <c r="E247" s="44"/>
      <c r="F247" s="44"/>
      <c r="G247" s="44"/>
      <c r="H247" s="44"/>
      <c r="I247" s="44"/>
      <c r="J247" s="44"/>
      <c r="K247" s="44"/>
      <c r="L247" s="44"/>
      <c r="M247" s="44"/>
      <c r="N247" s="44"/>
      <c r="O247" s="46"/>
      <c r="P247" s="44"/>
      <c r="Q247" s="46"/>
      <c r="R247" s="44"/>
      <c r="S247" s="45"/>
      <c r="T247" s="44"/>
      <c r="U247" s="44"/>
      <c r="V247" s="47"/>
      <c r="W247" s="48" t="str">
        <f aca="false">IF(V247="","",IFERROR(V247/O247,""))</f>
        <v/>
      </c>
      <c r="X247" s="44"/>
      <c r="Y247" s="46"/>
      <c r="Z247" s="49"/>
      <c r="AA247" s="44"/>
      <c r="AB247" s="50" t="str">
        <f aca="false">IFERROR(INDEX(TABLA_IVA!$C$3:$C$6,MATCH(AA247,TABLA_IVA!$A$3:$A$6,0)),"")</f>
        <v/>
      </c>
      <c r="AC247" s="47"/>
      <c r="AD247" s="44"/>
      <c r="AE247" s="51"/>
      <c r="AF247" s="52" t="str">
        <f aca="false">IF(OR(AC247="",AE247="",AB247=""),"",IFERROR(AC247/(1-AE247)*(1+AB247),""))</f>
        <v/>
      </c>
      <c r="AG247" s="47"/>
      <c r="AH247" s="52" t="str">
        <f aca="false">IF(AD247="FIJO",IF(AG247="","",AG247),IF(AF247&lt;&gt;"",AF247,IF(AG247="","",AG247)))</f>
        <v/>
      </c>
      <c r="AI247" s="52" t="str">
        <f aca="false">IF(OR(AH247="",AB247=""),"",IFERROR(AH247/(1+AB247),""))</f>
        <v/>
      </c>
      <c r="AJ247" s="50" t="str">
        <f aca="false">IF(OR(AI247="",AC247=""),"",IFERROR((AI247-AC247)/AI247,""))</f>
        <v/>
      </c>
      <c r="AK247" s="53" t="str">
        <f aca="false">IF(OR(AJ247="",AE247=""),"",AJ247-AE247)</f>
        <v/>
      </c>
      <c r="AL247" s="54" t="str">
        <f aca="false">IF(OR(AH247="",AF247=""),"",AH247-AF247)</f>
        <v/>
      </c>
      <c r="AM247" s="55" t="str">
        <f aca="false">IF(OR(A247="",K247&lt;&gt;"SI"),"",IF(AE247="","Sin objetivo",IF(AJ247="","Faltan datos",IF(AJ247&lt;0,"PÉRDIDA",IF(AK247&lt;-UMB_CRITICO,"MUY POR DEBAJO",IF(AK247&lt;-UMB_BAJO,"POR DEBAJO",IF(AK247&lt;-UMB_AJUSTADO,"AJUSTADO",IF(AK247&lt;=UMB_ALTO,"EN OBJETIVO","POR ENCIMA"))))))))</f>
        <v/>
      </c>
      <c r="AN247" s="44"/>
      <c r="AO247" s="44"/>
      <c r="AP247" s="46"/>
      <c r="AQ247" s="46"/>
      <c r="AR247" s="46"/>
      <c r="AS247" s="44"/>
      <c r="AT247" s="44"/>
      <c r="AU247" s="44"/>
      <c r="AV247" s="44"/>
      <c r="AW247" s="44"/>
      <c r="AX247" s="45"/>
      <c r="AY247" s="44"/>
      <c r="AZ247" s="56"/>
      <c r="BA247" s="45"/>
    </row>
    <row r="248" customFormat="false" ht="15" hidden="false" customHeight="false" outlineLevel="0" collapsed="false">
      <c r="A248" s="44"/>
      <c r="B248" s="44"/>
      <c r="C248" s="45"/>
      <c r="D248" s="45"/>
      <c r="E248" s="44"/>
      <c r="F248" s="44"/>
      <c r="G248" s="44"/>
      <c r="H248" s="44"/>
      <c r="I248" s="44"/>
      <c r="J248" s="44"/>
      <c r="K248" s="44"/>
      <c r="L248" s="44"/>
      <c r="M248" s="44"/>
      <c r="N248" s="44"/>
      <c r="O248" s="46"/>
      <c r="P248" s="44"/>
      <c r="Q248" s="46"/>
      <c r="R248" s="44"/>
      <c r="S248" s="45"/>
      <c r="T248" s="44"/>
      <c r="U248" s="44"/>
      <c r="V248" s="47"/>
      <c r="W248" s="48" t="str">
        <f aca="false">IF(V248="","",IFERROR(V248/O248,""))</f>
        <v/>
      </c>
      <c r="X248" s="44"/>
      <c r="Y248" s="46"/>
      <c r="Z248" s="49"/>
      <c r="AA248" s="44"/>
      <c r="AB248" s="50" t="str">
        <f aca="false">IFERROR(INDEX(TABLA_IVA!$C$3:$C$6,MATCH(AA248,TABLA_IVA!$A$3:$A$6,0)),"")</f>
        <v/>
      </c>
      <c r="AC248" s="47"/>
      <c r="AD248" s="44"/>
      <c r="AE248" s="51"/>
      <c r="AF248" s="52" t="str">
        <f aca="false">IF(OR(AC248="",AE248="",AB248=""),"",IFERROR(AC248/(1-AE248)*(1+AB248),""))</f>
        <v/>
      </c>
      <c r="AG248" s="47"/>
      <c r="AH248" s="52" t="str">
        <f aca="false">IF(AD248="FIJO",IF(AG248="","",AG248),IF(AF248&lt;&gt;"",AF248,IF(AG248="","",AG248)))</f>
        <v/>
      </c>
      <c r="AI248" s="52" t="str">
        <f aca="false">IF(OR(AH248="",AB248=""),"",IFERROR(AH248/(1+AB248),""))</f>
        <v/>
      </c>
      <c r="AJ248" s="50" t="str">
        <f aca="false">IF(OR(AI248="",AC248=""),"",IFERROR((AI248-AC248)/AI248,""))</f>
        <v/>
      </c>
      <c r="AK248" s="53" t="str">
        <f aca="false">IF(OR(AJ248="",AE248=""),"",AJ248-AE248)</f>
        <v/>
      </c>
      <c r="AL248" s="54" t="str">
        <f aca="false">IF(OR(AH248="",AF248=""),"",AH248-AF248)</f>
        <v/>
      </c>
      <c r="AM248" s="55" t="str">
        <f aca="false">IF(OR(A248="",K248&lt;&gt;"SI"),"",IF(AE248="","Sin objetivo",IF(AJ248="","Faltan datos",IF(AJ248&lt;0,"PÉRDIDA",IF(AK248&lt;-UMB_CRITICO,"MUY POR DEBAJO",IF(AK248&lt;-UMB_BAJO,"POR DEBAJO",IF(AK248&lt;-UMB_AJUSTADO,"AJUSTADO",IF(AK248&lt;=UMB_ALTO,"EN OBJETIVO","POR ENCIMA"))))))))</f>
        <v/>
      </c>
      <c r="AN248" s="44"/>
      <c r="AO248" s="44"/>
      <c r="AP248" s="46"/>
      <c r="AQ248" s="46"/>
      <c r="AR248" s="46"/>
      <c r="AS248" s="44"/>
      <c r="AT248" s="44"/>
      <c r="AU248" s="44"/>
      <c r="AV248" s="44"/>
      <c r="AW248" s="44"/>
      <c r="AX248" s="45"/>
      <c r="AY248" s="44"/>
      <c r="AZ248" s="56"/>
      <c r="BA248" s="45"/>
    </row>
    <row r="249" customFormat="false" ht="15" hidden="false" customHeight="false" outlineLevel="0" collapsed="false">
      <c r="A249" s="44"/>
      <c r="B249" s="44"/>
      <c r="C249" s="45"/>
      <c r="D249" s="45"/>
      <c r="E249" s="44"/>
      <c r="F249" s="44"/>
      <c r="G249" s="44"/>
      <c r="H249" s="44"/>
      <c r="I249" s="44"/>
      <c r="J249" s="44"/>
      <c r="K249" s="44"/>
      <c r="L249" s="44"/>
      <c r="M249" s="44"/>
      <c r="N249" s="44"/>
      <c r="O249" s="46"/>
      <c r="P249" s="44"/>
      <c r="Q249" s="46"/>
      <c r="R249" s="44"/>
      <c r="S249" s="45"/>
      <c r="T249" s="44"/>
      <c r="U249" s="44"/>
      <c r="V249" s="47"/>
      <c r="W249" s="48" t="str">
        <f aca="false">IF(V249="","",IFERROR(V249/O249,""))</f>
        <v/>
      </c>
      <c r="X249" s="44"/>
      <c r="Y249" s="46"/>
      <c r="Z249" s="49"/>
      <c r="AA249" s="44"/>
      <c r="AB249" s="50" t="str">
        <f aca="false">IFERROR(INDEX(TABLA_IVA!$C$3:$C$6,MATCH(AA249,TABLA_IVA!$A$3:$A$6,0)),"")</f>
        <v/>
      </c>
      <c r="AC249" s="47"/>
      <c r="AD249" s="44"/>
      <c r="AE249" s="51"/>
      <c r="AF249" s="52" t="str">
        <f aca="false">IF(OR(AC249="",AE249="",AB249=""),"",IFERROR(AC249/(1-AE249)*(1+AB249),""))</f>
        <v/>
      </c>
      <c r="AG249" s="47"/>
      <c r="AH249" s="52" t="str">
        <f aca="false">IF(AD249="FIJO",IF(AG249="","",AG249),IF(AF249&lt;&gt;"",AF249,IF(AG249="","",AG249)))</f>
        <v/>
      </c>
      <c r="AI249" s="52" t="str">
        <f aca="false">IF(OR(AH249="",AB249=""),"",IFERROR(AH249/(1+AB249),""))</f>
        <v/>
      </c>
      <c r="AJ249" s="50" t="str">
        <f aca="false">IF(OR(AI249="",AC249=""),"",IFERROR((AI249-AC249)/AI249,""))</f>
        <v/>
      </c>
      <c r="AK249" s="53" t="str">
        <f aca="false">IF(OR(AJ249="",AE249=""),"",AJ249-AE249)</f>
        <v/>
      </c>
      <c r="AL249" s="54" t="str">
        <f aca="false">IF(OR(AH249="",AF249=""),"",AH249-AF249)</f>
        <v/>
      </c>
      <c r="AM249" s="55" t="str">
        <f aca="false">IF(OR(A249="",K249&lt;&gt;"SI"),"",IF(AE249="","Sin objetivo",IF(AJ249="","Faltan datos",IF(AJ249&lt;0,"PÉRDIDA",IF(AK249&lt;-UMB_CRITICO,"MUY POR DEBAJO",IF(AK249&lt;-UMB_BAJO,"POR DEBAJO",IF(AK249&lt;-UMB_AJUSTADO,"AJUSTADO",IF(AK249&lt;=UMB_ALTO,"EN OBJETIVO","POR ENCIMA"))))))))</f>
        <v/>
      </c>
      <c r="AN249" s="44"/>
      <c r="AO249" s="44"/>
      <c r="AP249" s="46"/>
      <c r="AQ249" s="46"/>
      <c r="AR249" s="46"/>
      <c r="AS249" s="44"/>
      <c r="AT249" s="44"/>
      <c r="AU249" s="44"/>
      <c r="AV249" s="44"/>
      <c r="AW249" s="44"/>
      <c r="AX249" s="45"/>
      <c r="AY249" s="44"/>
      <c r="AZ249" s="56"/>
      <c r="BA249" s="45"/>
    </row>
    <row r="250" customFormat="false" ht="15" hidden="false" customHeight="false" outlineLevel="0" collapsed="false">
      <c r="A250" s="44"/>
      <c r="B250" s="44"/>
      <c r="C250" s="45"/>
      <c r="D250" s="45"/>
      <c r="E250" s="44"/>
      <c r="F250" s="44"/>
      <c r="G250" s="44"/>
      <c r="H250" s="44"/>
      <c r="I250" s="44"/>
      <c r="J250" s="44"/>
      <c r="K250" s="44"/>
      <c r="L250" s="44"/>
      <c r="M250" s="44"/>
      <c r="N250" s="44"/>
      <c r="O250" s="46"/>
      <c r="P250" s="44"/>
      <c r="Q250" s="46"/>
      <c r="R250" s="44"/>
      <c r="S250" s="45"/>
      <c r="T250" s="44"/>
      <c r="U250" s="44"/>
      <c r="V250" s="47"/>
      <c r="W250" s="48" t="str">
        <f aca="false">IF(V250="","",IFERROR(V250/O250,""))</f>
        <v/>
      </c>
      <c r="X250" s="44"/>
      <c r="Y250" s="46"/>
      <c r="Z250" s="49"/>
      <c r="AA250" s="44"/>
      <c r="AB250" s="50" t="str">
        <f aca="false">IFERROR(INDEX(TABLA_IVA!$C$3:$C$6,MATCH(AA250,TABLA_IVA!$A$3:$A$6,0)),"")</f>
        <v/>
      </c>
      <c r="AC250" s="47"/>
      <c r="AD250" s="44"/>
      <c r="AE250" s="51"/>
      <c r="AF250" s="52" t="str">
        <f aca="false">IF(OR(AC250="",AE250="",AB250=""),"",IFERROR(AC250/(1-AE250)*(1+AB250),""))</f>
        <v/>
      </c>
      <c r="AG250" s="47"/>
      <c r="AH250" s="52" t="str">
        <f aca="false">IF(AD250="FIJO",IF(AG250="","",AG250),IF(AF250&lt;&gt;"",AF250,IF(AG250="","",AG250)))</f>
        <v/>
      </c>
      <c r="AI250" s="52" t="str">
        <f aca="false">IF(OR(AH250="",AB250=""),"",IFERROR(AH250/(1+AB250),""))</f>
        <v/>
      </c>
      <c r="AJ250" s="50" t="str">
        <f aca="false">IF(OR(AI250="",AC250=""),"",IFERROR((AI250-AC250)/AI250,""))</f>
        <v/>
      </c>
      <c r="AK250" s="53" t="str">
        <f aca="false">IF(OR(AJ250="",AE250=""),"",AJ250-AE250)</f>
        <v/>
      </c>
      <c r="AL250" s="54" t="str">
        <f aca="false">IF(OR(AH250="",AF250=""),"",AH250-AF250)</f>
        <v/>
      </c>
      <c r="AM250" s="55" t="str">
        <f aca="false">IF(OR(A250="",K250&lt;&gt;"SI"),"",IF(AE250="","Sin objetivo",IF(AJ250="","Faltan datos",IF(AJ250&lt;0,"PÉRDIDA",IF(AK250&lt;-UMB_CRITICO,"MUY POR DEBAJO",IF(AK250&lt;-UMB_BAJO,"POR DEBAJO",IF(AK250&lt;-UMB_AJUSTADO,"AJUSTADO",IF(AK250&lt;=UMB_ALTO,"EN OBJETIVO","POR ENCIMA"))))))))</f>
        <v/>
      </c>
      <c r="AN250" s="44"/>
      <c r="AO250" s="44"/>
      <c r="AP250" s="46"/>
      <c r="AQ250" s="46"/>
      <c r="AR250" s="46"/>
      <c r="AS250" s="44"/>
      <c r="AT250" s="44"/>
      <c r="AU250" s="44"/>
      <c r="AV250" s="44"/>
      <c r="AW250" s="44"/>
      <c r="AX250" s="45"/>
      <c r="AY250" s="44"/>
      <c r="AZ250" s="56"/>
      <c r="BA250" s="45"/>
    </row>
    <row r="251" customFormat="false" ht="15" hidden="false" customHeight="false" outlineLevel="0" collapsed="false">
      <c r="A251" s="44"/>
      <c r="B251" s="44"/>
      <c r="C251" s="45"/>
      <c r="D251" s="45"/>
      <c r="E251" s="44"/>
      <c r="F251" s="44"/>
      <c r="G251" s="44"/>
      <c r="H251" s="44"/>
      <c r="I251" s="44"/>
      <c r="J251" s="44"/>
      <c r="K251" s="44"/>
      <c r="L251" s="44"/>
      <c r="M251" s="44"/>
      <c r="N251" s="44"/>
      <c r="O251" s="46"/>
      <c r="P251" s="44"/>
      <c r="Q251" s="46"/>
      <c r="R251" s="44"/>
      <c r="S251" s="45"/>
      <c r="T251" s="44"/>
      <c r="U251" s="44"/>
      <c r="V251" s="47"/>
      <c r="W251" s="48" t="str">
        <f aca="false">IF(V251="","",IFERROR(V251/O251,""))</f>
        <v/>
      </c>
      <c r="X251" s="44"/>
      <c r="Y251" s="46"/>
      <c r="Z251" s="49"/>
      <c r="AA251" s="44"/>
      <c r="AB251" s="50" t="str">
        <f aca="false">IFERROR(INDEX(TABLA_IVA!$C$3:$C$6,MATCH(AA251,TABLA_IVA!$A$3:$A$6,0)),"")</f>
        <v/>
      </c>
      <c r="AC251" s="47"/>
      <c r="AD251" s="44"/>
      <c r="AE251" s="51"/>
      <c r="AF251" s="52" t="str">
        <f aca="false">IF(OR(AC251="",AE251="",AB251=""),"",IFERROR(AC251/(1-AE251)*(1+AB251),""))</f>
        <v/>
      </c>
      <c r="AG251" s="47"/>
      <c r="AH251" s="52" t="str">
        <f aca="false">IF(AD251="FIJO",IF(AG251="","",AG251),IF(AF251&lt;&gt;"",AF251,IF(AG251="","",AG251)))</f>
        <v/>
      </c>
      <c r="AI251" s="52" t="str">
        <f aca="false">IF(OR(AH251="",AB251=""),"",IFERROR(AH251/(1+AB251),""))</f>
        <v/>
      </c>
      <c r="AJ251" s="50" t="str">
        <f aca="false">IF(OR(AI251="",AC251=""),"",IFERROR((AI251-AC251)/AI251,""))</f>
        <v/>
      </c>
      <c r="AK251" s="53" t="str">
        <f aca="false">IF(OR(AJ251="",AE251=""),"",AJ251-AE251)</f>
        <v/>
      </c>
      <c r="AL251" s="54" t="str">
        <f aca="false">IF(OR(AH251="",AF251=""),"",AH251-AF251)</f>
        <v/>
      </c>
      <c r="AM251" s="55" t="str">
        <f aca="false">IF(OR(A251="",K251&lt;&gt;"SI"),"",IF(AE251="","Sin objetivo",IF(AJ251="","Faltan datos",IF(AJ251&lt;0,"PÉRDIDA",IF(AK251&lt;-UMB_CRITICO,"MUY POR DEBAJO",IF(AK251&lt;-UMB_BAJO,"POR DEBAJO",IF(AK251&lt;-UMB_AJUSTADO,"AJUSTADO",IF(AK251&lt;=UMB_ALTO,"EN OBJETIVO","POR ENCIMA"))))))))</f>
        <v/>
      </c>
      <c r="AN251" s="44"/>
      <c r="AO251" s="44"/>
      <c r="AP251" s="46"/>
      <c r="AQ251" s="46"/>
      <c r="AR251" s="46"/>
      <c r="AS251" s="44"/>
      <c r="AT251" s="44"/>
      <c r="AU251" s="44"/>
      <c r="AV251" s="44"/>
      <c r="AW251" s="44"/>
      <c r="AX251" s="45"/>
      <c r="AY251" s="44"/>
      <c r="AZ251" s="56"/>
      <c r="BA251" s="45"/>
    </row>
    <row r="252" customFormat="false" ht="15" hidden="false" customHeight="false" outlineLevel="0" collapsed="false">
      <c r="A252" s="44"/>
      <c r="B252" s="44"/>
      <c r="C252" s="45"/>
      <c r="D252" s="45"/>
      <c r="E252" s="44"/>
      <c r="F252" s="44"/>
      <c r="G252" s="44"/>
      <c r="H252" s="44"/>
      <c r="I252" s="44"/>
      <c r="J252" s="44"/>
      <c r="K252" s="44"/>
      <c r="L252" s="44"/>
      <c r="M252" s="44"/>
      <c r="N252" s="44"/>
      <c r="O252" s="46"/>
      <c r="P252" s="44"/>
      <c r="Q252" s="46"/>
      <c r="R252" s="44"/>
      <c r="S252" s="45"/>
      <c r="T252" s="44"/>
      <c r="U252" s="44"/>
      <c r="V252" s="47"/>
      <c r="W252" s="48" t="str">
        <f aca="false">IF(V252="","",IFERROR(V252/O252,""))</f>
        <v/>
      </c>
      <c r="X252" s="44"/>
      <c r="Y252" s="46"/>
      <c r="Z252" s="49"/>
      <c r="AA252" s="44"/>
      <c r="AB252" s="50" t="str">
        <f aca="false">IFERROR(INDEX(TABLA_IVA!$C$3:$C$6,MATCH(AA252,TABLA_IVA!$A$3:$A$6,0)),"")</f>
        <v/>
      </c>
      <c r="AC252" s="47"/>
      <c r="AD252" s="44"/>
      <c r="AE252" s="51"/>
      <c r="AF252" s="52" t="str">
        <f aca="false">IF(OR(AC252="",AE252="",AB252=""),"",IFERROR(AC252/(1-AE252)*(1+AB252),""))</f>
        <v/>
      </c>
      <c r="AG252" s="47"/>
      <c r="AH252" s="52" t="str">
        <f aca="false">IF(AD252="FIJO",IF(AG252="","",AG252),IF(AF252&lt;&gt;"",AF252,IF(AG252="","",AG252)))</f>
        <v/>
      </c>
      <c r="AI252" s="52" t="str">
        <f aca="false">IF(OR(AH252="",AB252=""),"",IFERROR(AH252/(1+AB252),""))</f>
        <v/>
      </c>
      <c r="AJ252" s="50" t="str">
        <f aca="false">IF(OR(AI252="",AC252=""),"",IFERROR((AI252-AC252)/AI252,""))</f>
        <v/>
      </c>
      <c r="AK252" s="53" t="str">
        <f aca="false">IF(OR(AJ252="",AE252=""),"",AJ252-AE252)</f>
        <v/>
      </c>
      <c r="AL252" s="54" t="str">
        <f aca="false">IF(OR(AH252="",AF252=""),"",AH252-AF252)</f>
        <v/>
      </c>
      <c r="AM252" s="55" t="str">
        <f aca="false">IF(OR(A252="",K252&lt;&gt;"SI"),"",IF(AE252="","Sin objetivo",IF(AJ252="","Faltan datos",IF(AJ252&lt;0,"PÉRDIDA",IF(AK252&lt;-UMB_CRITICO,"MUY POR DEBAJO",IF(AK252&lt;-UMB_BAJO,"POR DEBAJO",IF(AK252&lt;-UMB_AJUSTADO,"AJUSTADO",IF(AK252&lt;=UMB_ALTO,"EN OBJETIVO","POR ENCIMA"))))))))</f>
        <v/>
      </c>
      <c r="AN252" s="44"/>
      <c r="AO252" s="44"/>
      <c r="AP252" s="46"/>
      <c r="AQ252" s="46"/>
      <c r="AR252" s="46"/>
      <c r="AS252" s="44"/>
      <c r="AT252" s="44"/>
      <c r="AU252" s="44"/>
      <c r="AV252" s="44"/>
      <c r="AW252" s="44"/>
      <c r="AX252" s="45"/>
      <c r="AY252" s="44"/>
      <c r="AZ252" s="56"/>
      <c r="BA252" s="45"/>
    </row>
    <row r="253" customFormat="false" ht="15" hidden="false" customHeight="false" outlineLevel="0" collapsed="false">
      <c r="A253" s="44"/>
      <c r="B253" s="44"/>
      <c r="C253" s="45"/>
      <c r="D253" s="45"/>
      <c r="E253" s="44"/>
      <c r="F253" s="44"/>
      <c r="G253" s="44"/>
      <c r="H253" s="44"/>
      <c r="I253" s="44"/>
      <c r="J253" s="44"/>
      <c r="K253" s="44"/>
      <c r="L253" s="44"/>
      <c r="M253" s="44"/>
      <c r="N253" s="44"/>
      <c r="O253" s="46"/>
      <c r="P253" s="44"/>
      <c r="Q253" s="46"/>
      <c r="R253" s="44"/>
      <c r="S253" s="45"/>
      <c r="T253" s="44"/>
      <c r="U253" s="44"/>
      <c r="V253" s="47"/>
      <c r="W253" s="48" t="str">
        <f aca="false">IF(V253="","",IFERROR(V253/O253,""))</f>
        <v/>
      </c>
      <c r="X253" s="44"/>
      <c r="Y253" s="46"/>
      <c r="Z253" s="49"/>
      <c r="AA253" s="44"/>
      <c r="AB253" s="50" t="str">
        <f aca="false">IFERROR(INDEX(TABLA_IVA!$C$3:$C$6,MATCH(AA253,TABLA_IVA!$A$3:$A$6,0)),"")</f>
        <v/>
      </c>
      <c r="AC253" s="47"/>
      <c r="AD253" s="44"/>
      <c r="AE253" s="51"/>
      <c r="AF253" s="52" t="str">
        <f aca="false">IF(OR(AC253="",AE253="",AB253=""),"",IFERROR(AC253/(1-AE253)*(1+AB253),""))</f>
        <v/>
      </c>
      <c r="AG253" s="47"/>
      <c r="AH253" s="52" t="str">
        <f aca="false">IF(AD253="FIJO",IF(AG253="","",AG253),IF(AF253&lt;&gt;"",AF253,IF(AG253="","",AG253)))</f>
        <v/>
      </c>
      <c r="AI253" s="52" t="str">
        <f aca="false">IF(OR(AH253="",AB253=""),"",IFERROR(AH253/(1+AB253),""))</f>
        <v/>
      </c>
      <c r="AJ253" s="50" t="str">
        <f aca="false">IF(OR(AI253="",AC253=""),"",IFERROR((AI253-AC253)/AI253,""))</f>
        <v/>
      </c>
      <c r="AK253" s="53" t="str">
        <f aca="false">IF(OR(AJ253="",AE253=""),"",AJ253-AE253)</f>
        <v/>
      </c>
      <c r="AL253" s="54" t="str">
        <f aca="false">IF(OR(AH253="",AF253=""),"",AH253-AF253)</f>
        <v/>
      </c>
      <c r="AM253" s="55" t="str">
        <f aca="false">IF(OR(A253="",K253&lt;&gt;"SI"),"",IF(AE253="","Sin objetivo",IF(AJ253="","Faltan datos",IF(AJ253&lt;0,"PÉRDIDA",IF(AK253&lt;-UMB_CRITICO,"MUY POR DEBAJO",IF(AK253&lt;-UMB_BAJO,"POR DEBAJO",IF(AK253&lt;-UMB_AJUSTADO,"AJUSTADO",IF(AK253&lt;=UMB_ALTO,"EN OBJETIVO","POR ENCIMA"))))))))</f>
        <v/>
      </c>
      <c r="AN253" s="44"/>
      <c r="AO253" s="44"/>
      <c r="AP253" s="46"/>
      <c r="AQ253" s="46"/>
      <c r="AR253" s="46"/>
      <c r="AS253" s="44"/>
      <c r="AT253" s="44"/>
      <c r="AU253" s="44"/>
      <c r="AV253" s="44"/>
      <c r="AW253" s="44"/>
      <c r="AX253" s="45"/>
      <c r="AY253" s="44"/>
      <c r="AZ253" s="56"/>
      <c r="BA253" s="45"/>
    </row>
    <row r="254" customFormat="false" ht="15" hidden="false" customHeight="false" outlineLevel="0" collapsed="false">
      <c r="A254" s="44"/>
      <c r="B254" s="44"/>
      <c r="C254" s="45"/>
      <c r="D254" s="45"/>
      <c r="E254" s="44"/>
      <c r="F254" s="44"/>
      <c r="G254" s="44"/>
      <c r="H254" s="44"/>
      <c r="I254" s="44"/>
      <c r="J254" s="44"/>
      <c r="K254" s="44"/>
      <c r="L254" s="44"/>
      <c r="M254" s="44"/>
      <c r="N254" s="44"/>
      <c r="O254" s="46"/>
      <c r="P254" s="44"/>
      <c r="Q254" s="46"/>
      <c r="R254" s="44"/>
      <c r="S254" s="45"/>
      <c r="T254" s="44"/>
      <c r="U254" s="44"/>
      <c r="V254" s="47"/>
      <c r="W254" s="48" t="str">
        <f aca="false">IF(V254="","",IFERROR(V254/O254,""))</f>
        <v/>
      </c>
      <c r="X254" s="44"/>
      <c r="Y254" s="46"/>
      <c r="Z254" s="49"/>
      <c r="AA254" s="44"/>
      <c r="AB254" s="50" t="str">
        <f aca="false">IFERROR(INDEX(TABLA_IVA!$C$3:$C$6,MATCH(AA254,TABLA_IVA!$A$3:$A$6,0)),"")</f>
        <v/>
      </c>
      <c r="AC254" s="47"/>
      <c r="AD254" s="44"/>
      <c r="AE254" s="51"/>
      <c r="AF254" s="52" t="str">
        <f aca="false">IF(OR(AC254="",AE254="",AB254=""),"",IFERROR(AC254/(1-AE254)*(1+AB254),""))</f>
        <v/>
      </c>
      <c r="AG254" s="47"/>
      <c r="AH254" s="52" t="str">
        <f aca="false">IF(AD254="FIJO",IF(AG254="","",AG254),IF(AF254&lt;&gt;"",AF254,IF(AG254="","",AG254)))</f>
        <v/>
      </c>
      <c r="AI254" s="52" t="str">
        <f aca="false">IF(OR(AH254="",AB254=""),"",IFERROR(AH254/(1+AB254),""))</f>
        <v/>
      </c>
      <c r="AJ254" s="50" t="str">
        <f aca="false">IF(OR(AI254="",AC254=""),"",IFERROR((AI254-AC254)/AI254,""))</f>
        <v/>
      </c>
      <c r="AK254" s="53" t="str">
        <f aca="false">IF(OR(AJ254="",AE254=""),"",AJ254-AE254)</f>
        <v/>
      </c>
      <c r="AL254" s="54" t="str">
        <f aca="false">IF(OR(AH254="",AF254=""),"",AH254-AF254)</f>
        <v/>
      </c>
      <c r="AM254" s="55" t="str">
        <f aca="false">IF(OR(A254="",K254&lt;&gt;"SI"),"",IF(AE254="","Sin objetivo",IF(AJ254="","Faltan datos",IF(AJ254&lt;0,"PÉRDIDA",IF(AK254&lt;-UMB_CRITICO,"MUY POR DEBAJO",IF(AK254&lt;-UMB_BAJO,"POR DEBAJO",IF(AK254&lt;-UMB_AJUSTADO,"AJUSTADO",IF(AK254&lt;=UMB_ALTO,"EN OBJETIVO","POR ENCIMA"))))))))</f>
        <v/>
      </c>
      <c r="AN254" s="44"/>
      <c r="AO254" s="44"/>
      <c r="AP254" s="46"/>
      <c r="AQ254" s="46"/>
      <c r="AR254" s="46"/>
      <c r="AS254" s="44"/>
      <c r="AT254" s="44"/>
      <c r="AU254" s="44"/>
      <c r="AV254" s="44"/>
      <c r="AW254" s="44"/>
      <c r="AX254" s="45"/>
      <c r="AY254" s="44"/>
      <c r="AZ254" s="56"/>
      <c r="BA254" s="45"/>
    </row>
    <row r="255" customFormat="false" ht="15" hidden="false" customHeight="false" outlineLevel="0" collapsed="false">
      <c r="A255" s="44"/>
      <c r="B255" s="44"/>
      <c r="C255" s="45"/>
      <c r="D255" s="45"/>
      <c r="E255" s="44"/>
      <c r="F255" s="44"/>
      <c r="G255" s="44"/>
      <c r="H255" s="44"/>
      <c r="I255" s="44"/>
      <c r="J255" s="44"/>
      <c r="K255" s="44"/>
      <c r="L255" s="44"/>
      <c r="M255" s="44"/>
      <c r="N255" s="44"/>
      <c r="O255" s="46"/>
      <c r="P255" s="44"/>
      <c r="Q255" s="46"/>
      <c r="R255" s="44"/>
      <c r="S255" s="45"/>
      <c r="T255" s="44"/>
      <c r="U255" s="44"/>
      <c r="V255" s="47"/>
      <c r="W255" s="48" t="str">
        <f aca="false">IF(V255="","",IFERROR(V255/O255,""))</f>
        <v/>
      </c>
      <c r="X255" s="44"/>
      <c r="Y255" s="46"/>
      <c r="Z255" s="49"/>
      <c r="AA255" s="44"/>
      <c r="AB255" s="50" t="str">
        <f aca="false">IFERROR(INDEX(TABLA_IVA!$C$3:$C$6,MATCH(AA255,TABLA_IVA!$A$3:$A$6,0)),"")</f>
        <v/>
      </c>
      <c r="AC255" s="47"/>
      <c r="AD255" s="44"/>
      <c r="AE255" s="51"/>
      <c r="AF255" s="52" t="str">
        <f aca="false">IF(OR(AC255="",AE255="",AB255=""),"",IFERROR(AC255/(1-AE255)*(1+AB255),""))</f>
        <v/>
      </c>
      <c r="AG255" s="47"/>
      <c r="AH255" s="52" t="str">
        <f aca="false">IF(AD255="FIJO",IF(AG255="","",AG255),IF(AF255&lt;&gt;"",AF255,IF(AG255="","",AG255)))</f>
        <v/>
      </c>
      <c r="AI255" s="52" t="str">
        <f aca="false">IF(OR(AH255="",AB255=""),"",IFERROR(AH255/(1+AB255),""))</f>
        <v/>
      </c>
      <c r="AJ255" s="50" t="str">
        <f aca="false">IF(OR(AI255="",AC255=""),"",IFERROR((AI255-AC255)/AI255,""))</f>
        <v/>
      </c>
      <c r="AK255" s="53" t="str">
        <f aca="false">IF(OR(AJ255="",AE255=""),"",AJ255-AE255)</f>
        <v/>
      </c>
      <c r="AL255" s="54" t="str">
        <f aca="false">IF(OR(AH255="",AF255=""),"",AH255-AF255)</f>
        <v/>
      </c>
      <c r="AM255" s="55" t="str">
        <f aca="false">IF(OR(A255="",K255&lt;&gt;"SI"),"",IF(AE255="","Sin objetivo",IF(AJ255="","Faltan datos",IF(AJ255&lt;0,"PÉRDIDA",IF(AK255&lt;-UMB_CRITICO,"MUY POR DEBAJO",IF(AK255&lt;-UMB_BAJO,"POR DEBAJO",IF(AK255&lt;-UMB_AJUSTADO,"AJUSTADO",IF(AK255&lt;=UMB_ALTO,"EN OBJETIVO","POR ENCIMA"))))))))</f>
        <v/>
      </c>
      <c r="AN255" s="44"/>
      <c r="AO255" s="44"/>
      <c r="AP255" s="46"/>
      <c r="AQ255" s="46"/>
      <c r="AR255" s="46"/>
      <c r="AS255" s="44"/>
      <c r="AT255" s="44"/>
      <c r="AU255" s="44"/>
      <c r="AV255" s="44"/>
      <c r="AW255" s="44"/>
      <c r="AX255" s="45"/>
      <c r="AY255" s="44"/>
      <c r="AZ255" s="56"/>
      <c r="BA255" s="45"/>
    </row>
    <row r="256" customFormat="false" ht="15" hidden="false" customHeight="false" outlineLevel="0" collapsed="false">
      <c r="A256" s="44"/>
      <c r="B256" s="44"/>
      <c r="C256" s="45"/>
      <c r="D256" s="45"/>
      <c r="E256" s="44"/>
      <c r="F256" s="44"/>
      <c r="G256" s="44"/>
      <c r="H256" s="44"/>
      <c r="I256" s="44"/>
      <c r="J256" s="44"/>
      <c r="K256" s="44"/>
      <c r="L256" s="44"/>
      <c r="M256" s="44"/>
      <c r="N256" s="44"/>
      <c r="O256" s="46"/>
      <c r="P256" s="44"/>
      <c r="Q256" s="46"/>
      <c r="R256" s="44"/>
      <c r="S256" s="45"/>
      <c r="T256" s="44"/>
      <c r="U256" s="44"/>
      <c r="V256" s="47"/>
      <c r="W256" s="48" t="str">
        <f aca="false">IF(V256="","",IFERROR(V256/O256,""))</f>
        <v/>
      </c>
      <c r="X256" s="44"/>
      <c r="Y256" s="46"/>
      <c r="Z256" s="49"/>
      <c r="AA256" s="44"/>
      <c r="AB256" s="50" t="str">
        <f aca="false">IFERROR(INDEX(TABLA_IVA!$C$3:$C$6,MATCH(AA256,TABLA_IVA!$A$3:$A$6,0)),"")</f>
        <v/>
      </c>
      <c r="AC256" s="47"/>
      <c r="AD256" s="44"/>
      <c r="AE256" s="51"/>
      <c r="AF256" s="52" t="str">
        <f aca="false">IF(OR(AC256="",AE256="",AB256=""),"",IFERROR(AC256/(1-AE256)*(1+AB256),""))</f>
        <v/>
      </c>
      <c r="AG256" s="47"/>
      <c r="AH256" s="52" t="str">
        <f aca="false">IF(AD256="FIJO",IF(AG256="","",AG256),IF(AF256&lt;&gt;"",AF256,IF(AG256="","",AG256)))</f>
        <v/>
      </c>
      <c r="AI256" s="52" t="str">
        <f aca="false">IF(OR(AH256="",AB256=""),"",IFERROR(AH256/(1+AB256),""))</f>
        <v/>
      </c>
      <c r="AJ256" s="50" t="str">
        <f aca="false">IF(OR(AI256="",AC256=""),"",IFERROR((AI256-AC256)/AI256,""))</f>
        <v/>
      </c>
      <c r="AK256" s="53" t="str">
        <f aca="false">IF(OR(AJ256="",AE256=""),"",AJ256-AE256)</f>
        <v/>
      </c>
      <c r="AL256" s="54" t="str">
        <f aca="false">IF(OR(AH256="",AF256=""),"",AH256-AF256)</f>
        <v/>
      </c>
      <c r="AM256" s="55" t="str">
        <f aca="false">IF(OR(A256="",K256&lt;&gt;"SI"),"",IF(AE256="","Sin objetivo",IF(AJ256="","Faltan datos",IF(AJ256&lt;0,"PÉRDIDA",IF(AK256&lt;-UMB_CRITICO,"MUY POR DEBAJO",IF(AK256&lt;-UMB_BAJO,"POR DEBAJO",IF(AK256&lt;-UMB_AJUSTADO,"AJUSTADO",IF(AK256&lt;=UMB_ALTO,"EN OBJETIVO","POR ENCIMA"))))))))</f>
        <v/>
      </c>
      <c r="AN256" s="44"/>
      <c r="AO256" s="44"/>
      <c r="AP256" s="46"/>
      <c r="AQ256" s="46"/>
      <c r="AR256" s="46"/>
      <c r="AS256" s="44"/>
      <c r="AT256" s="44"/>
      <c r="AU256" s="44"/>
      <c r="AV256" s="44"/>
      <c r="AW256" s="44"/>
      <c r="AX256" s="45"/>
      <c r="AY256" s="44"/>
      <c r="AZ256" s="56"/>
      <c r="BA256" s="45"/>
    </row>
    <row r="257" customFormat="false" ht="15" hidden="false" customHeight="false" outlineLevel="0" collapsed="false">
      <c r="A257" s="44"/>
      <c r="B257" s="44"/>
      <c r="C257" s="45"/>
      <c r="D257" s="45"/>
      <c r="E257" s="44"/>
      <c r="F257" s="44"/>
      <c r="G257" s="44"/>
      <c r="H257" s="44"/>
      <c r="I257" s="44"/>
      <c r="J257" s="44"/>
      <c r="K257" s="44"/>
      <c r="L257" s="44"/>
      <c r="M257" s="44"/>
      <c r="N257" s="44"/>
      <c r="O257" s="46"/>
      <c r="P257" s="44"/>
      <c r="Q257" s="46"/>
      <c r="R257" s="44"/>
      <c r="S257" s="45"/>
      <c r="T257" s="44"/>
      <c r="U257" s="44"/>
      <c r="V257" s="47"/>
      <c r="W257" s="48" t="str">
        <f aca="false">IF(V257="","",IFERROR(V257/O257,""))</f>
        <v/>
      </c>
      <c r="X257" s="44"/>
      <c r="Y257" s="46"/>
      <c r="Z257" s="49"/>
      <c r="AA257" s="44"/>
      <c r="AB257" s="50" t="str">
        <f aca="false">IFERROR(INDEX(TABLA_IVA!$C$3:$C$6,MATCH(AA257,TABLA_IVA!$A$3:$A$6,0)),"")</f>
        <v/>
      </c>
      <c r="AC257" s="47"/>
      <c r="AD257" s="44"/>
      <c r="AE257" s="51"/>
      <c r="AF257" s="52" t="str">
        <f aca="false">IF(OR(AC257="",AE257="",AB257=""),"",IFERROR(AC257/(1-AE257)*(1+AB257),""))</f>
        <v/>
      </c>
      <c r="AG257" s="47"/>
      <c r="AH257" s="52" t="str">
        <f aca="false">IF(AD257="FIJO",IF(AG257="","",AG257),IF(AF257&lt;&gt;"",AF257,IF(AG257="","",AG257)))</f>
        <v/>
      </c>
      <c r="AI257" s="52" t="str">
        <f aca="false">IF(OR(AH257="",AB257=""),"",IFERROR(AH257/(1+AB257),""))</f>
        <v/>
      </c>
      <c r="AJ257" s="50" t="str">
        <f aca="false">IF(OR(AI257="",AC257=""),"",IFERROR((AI257-AC257)/AI257,""))</f>
        <v/>
      </c>
      <c r="AK257" s="53" t="str">
        <f aca="false">IF(OR(AJ257="",AE257=""),"",AJ257-AE257)</f>
        <v/>
      </c>
      <c r="AL257" s="54" t="str">
        <f aca="false">IF(OR(AH257="",AF257=""),"",AH257-AF257)</f>
        <v/>
      </c>
      <c r="AM257" s="55" t="str">
        <f aca="false">IF(OR(A257="",K257&lt;&gt;"SI"),"",IF(AE257="","Sin objetivo",IF(AJ257="","Faltan datos",IF(AJ257&lt;0,"PÉRDIDA",IF(AK257&lt;-UMB_CRITICO,"MUY POR DEBAJO",IF(AK257&lt;-UMB_BAJO,"POR DEBAJO",IF(AK257&lt;-UMB_AJUSTADO,"AJUSTADO",IF(AK257&lt;=UMB_ALTO,"EN OBJETIVO","POR ENCIMA"))))))))</f>
        <v/>
      </c>
      <c r="AN257" s="44"/>
      <c r="AO257" s="44"/>
      <c r="AP257" s="46"/>
      <c r="AQ257" s="46"/>
      <c r="AR257" s="46"/>
      <c r="AS257" s="44"/>
      <c r="AT257" s="44"/>
      <c r="AU257" s="44"/>
      <c r="AV257" s="44"/>
      <c r="AW257" s="44"/>
      <c r="AX257" s="45"/>
      <c r="AY257" s="44"/>
      <c r="AZ257" s="56"/>
      <c r="BA257" s="45"/>
    </row>
    <row r="258" customFormat="false" ht="15" hidden="false" customHeight="false" outlineLevel="0" collapsed="false">
      <c r="A258" s="44"/>
      <c r="B258" s="44"/>
      <c r="C258" s="45"/>
      <c r="D258" s="45"/>
      <c r="E258" s="44"/>
      <c r="F258" s="44"/>
      <c r="G258" s="44"/>
      <c r="H258" s="44"/>
      <c r="I258" s="44"/>
      <c r="J258" s="44"/>
      <c r="K258" s="44"/>
      <c r="L258" s="44"/>
      <c r="M258" s="44"/>
      <c r="N258" s="44"/>
      <c r="O258" s="46"/>
      <c r="P258" s="44"/>
      <c r="Q258" s="46"/>
      <c r="R258" s="44"/>
      <c r="S258" s="45"/>
      <c r="T258" s="44"/>
      <c r="U258" s="44"/>
      <c r="V258" s="47"/>
      <c r="W258" s="48" t="str">
        <f aca="false">IF(V258="","",IFERROR(V258/O258,""))</f>
        <v/>
      </c>
      <c r="X258" s="44"/>
      <c r="Y258" s="46"/>
      <c r="Z258" s="49"/>
      <c r="AA258" s="44"/>
      <c r="AB258" s="50" t="str">
        <f aca="false">IFERROR(INDEX(TABLA_IVA!$C$3:$C$6,MATCH(AA258,TABLA_IVA!$A$3:$A$6,0)),"")</f>
        <v/>
      </c>
      <c r="AC258" s="47"/>
      <c r="AD258" s="44"/>
      <c r="AE258" s="51"/>
      <c r="AF258" s="52" t="str">
        <f aca="false">IF(OR(AC258="",AE258="",AB258=""),"",IFERROR(AC258/(1-AE258)*(1+AB258),""))</f>
        <v/>
      </c>
      <c r="AG258" s="47"/>
      <c r="AH258" s="52" t="str">
        <f aca="false">IF(AD258="FIJO",IF(AG258="","",AG258),IF(AF258&lt;&gt;"",AF258,IF(AG258="","",AG258)))</f>
        <v/>
      </c>
      <c r="AI258" s="52" t="str">
        <f aca="false">IF(OR(AH258="",AB258=""),"",IFERROR(AH258/(1+AB258),""))</f>
        <v/>
      </c>
      <c r="AJ258" s="50" t="str">
        <f aca="false">IF(OR(AI258="",AC258=""),"",IFERROR((AI258-AC258)/AI258,""))</f>
        <v/>
      </c>
      <c r="AK258" s="53" t="str">
        <f aca="false">IF(OR(AJ258="",AE258=""),"",AJ258-AE258)</f>
        <v/>
      </c>
      <c r="AL258" s="54" t="str">
        <f aca="false">IF(OR(AH258="",AF258=""),"",AH258-AF258)</f>
        <v/>
      </c>
      <c r="AM258" s="55" t="str">
        <f aca="false">IF(OR(A258="",K258&lt;&gt;"SI"),"",IF(AE258="","Sin objetivo",IF(AJ258="","Faltan datos",IF(AJ258&lt;0,"PÉRDIDA",IF(AK258&lt;-UMB_CRITICO,"MUY POR DEBAJO",IF(AK258&lt;-UMB_BAJO,"POR DEBAJO",IF(AK258&lt;-UMB_AJUSTADO,"AJUSTADO",IF(AK258&lt;=UMB_ALTO,"EN OBJETIVO","POR ENCIMA"))))))))</f>
        <v/>
      </c>
      <c r="AN258" s="44"/>
      <c r="AO258" s="44"/>
      <c r="AP258" s="46"/>
      <c r="AQ258" s="46"/>
      <c r="AR258" s="46"/>
      <c r="AS258" s="44"/>
      <c r="AT258" s="44"/>
      <c r="AU258" s="44"/>
      <c r="AV258" s="44"/>
      <c r="AW258" s="44"/>
      <c r="AX258" s="45"/>
      <c r="AY258" s="44"/>
      <c r="AZ258" s="56"/>
      <c r="BA258" s="45"/>
    </row>
    <row r="259" customFormat="false" ht="15" hidden="false" customHeight="false" outlineLevel="0" collapsed="false">
      <c r="A259" s="44"/>
      <c r="B259" s="44"/>
      <c r="C259" s="45"/>
      <c r="D259" s="45"/>
      <c r="E259" s="44"/>
      <c r="F259" s="44"/>
      <c r="G259" s="44"/>
      <c r="H259" s="44"/>
      <c r="I259" s="44"/>
      <c r="J259" s="44"/>
      <c r="K259" s="44"/>
      <c r="L259" s="44"/>
      <c r="M259" s="44"/>
      <c r="N259" s="44"/>
      <c r="O259" s="46"/>
      <c r="P259" s="44"/>
      <c r="Q259" s="46"/>
      <c r="R259" s="44"/>
      <c r="S259" s="45"/>
      <c r="T259" s="44"/>
      <c r="U259" s="44"/>
      <c r="V259" s="47"/>
      <c r="W259" s="48" t="str">
        <f aca="false">IF(V259="","",IFERROR(V259/O259,""))</f>
        <v/>
      </c>
      <c r="X259" s="44"/>
      <c r="Y259" s="46"/>
      <c r="Z259" s="49"/>
      <c r="AA259" s="44"/>
      <c r="AB259" s="50" t="str">
        <f aca="false">IFERROR(INDEX(TABLA_IVA!$C$3:$C$6,MATCH(AA259,TABLA_IVA!$A$3:$A$6,0)),"")</f>
        <v/>
      </c>
      <c r="AC259" s="47"/>
      <c r="AD259" s="44"/>
      <c r="AE259" s="51"/>
      <c r="AF259" s="52" t="str">
        <f aca="false">IF(OR(AC259="",AE259="",AB259=""),"",IFERROR(AC259/(1-AE259)*(1+AB259),""))</f>
        <v/>
      </c>
      <c r="AG259" s="47"/>
      <c r="AH259" s="52" t="str">
        <f aca="false">IF(AD259="FIJO",IF(AG259="","",AG259),IF(AF259&lt;&gt;"",AF259,IF(AG259="","",AG259)))</f>
        <v/>
      </c>
      <c r="AI259" s="52" t="str">
        <f aca="false">IF(OR(AH259="",AB259=""),"",IFERROR(AH259/(1+AB259),""))</f>
        <v/>
      </c>
      <c r="AJ259" s="50" t="str">
        <f aca="false">IF(OR(AI259="",AC259=""),"",IFERROR((AI259-AC259)/AI259,""))</f>
        <v/>
      </c>
      <c r="AK259" s="53" t="str">
        <f aca="false">IF(OR(AJ259="",AE259=""),"",AJ259-AE259)</f>
        <v/>
      </c>
      <c r="AL259" s="54" t="str">
        <f aca="false">IF(OR(AH259="",AF259=""),"",AH259-AF259)</f>
        <v/>
      </c>
      <c r="AM259" s="55" t="str">
        <f aca="false">IF(OR(A259="",K259&lt;&gt;"SI"),"",IF(AE259="","Sin objetivo",IF(AJ259="","Faltan datos",IF(AJ259&lt;0,"PÉRDIDA",IF(AK259&lt;-UMB_CRITICO,"MUY POR DEBAJO",IF(AK259&lt;-UMB_BAJO,"POR DEBAJO",IF(AK259&lt;-UMB_AJUSTADO,"AJUSTADO",IF(AK259&lt;=UMB_ALTO,"EN OBJETIVO","POR ENCIMA"))))))))</f>
        <v/>
      </c>
      <c r="AN259" s="44"/>
      <c r="AO259" s="44"/>
      <c r="AP259" s="46"/>
      <c r="AQ259" s="46"/>
      <c r="AR259" s="46"/>
      <c r="AS259" s="44"/>
      <c r="AT259" s="44"/>
      <c r="AU259" s="44"/>
      <c r="AV259" s="44"/>
      <c r="AW259" s="44"/>
      <c r="AX259" s="45"/>
      <c r="AY259" s="44"/>
      <c r="AZ259" s="56"/>
      <c r="BA259" s="45"/>
    </row>
    <row r="260" customFormat="false" ht="15" hidden="false" customHeight="false" outlineLevel="0" collapsed="false">
      <c r="A260" s="44"/>
      <c r="B260" s="44"/>
      <c r="C260" s="45"/>
      <c r="D260" s="45"/>
      <c r="E260" s="44"/>
      <c r="F260" s="44"/>
      <c r="G260" s="44"/>
      <c r="H260" s="44"/>
      <c r="I260" s="44"/>
      <c r="J260" s="44"/>
      <c r="K260" s="44"/>
      <c r="L260" s="44"/>
      <c r="M260" s="44"/>
      <c r="N260" s="44"/>
      <c r="O260" s="46"/>
      <c r="P260" s="44"/>
      <c r="Q260" s="46"/>
      <c r="R260" s="44"/>
      <c r="S260" s="45"/>
      <c r="T260" s="44"/>
      <c r="U260" s="44"/>
      <c r="V260" s="47"/>
      <c r="W260" s="48" t="str">
        <f aca="false">IF(V260="","",IFERROR(V260/O260,""))</f>
        <v/>
      </c>
      <c r="X260" s="44"/>
      <c r="Y260" s="46"/>
      <c r="Z260" s="49"/>
      <c r="AA260" s="44"/>
      <c r="AB260" s="50" t="str">
        <f aca="false">IFERROR(INDEX(TABLA_IVA!$C$3:$C$6,MATCH(AA260,TABLA_IVA!$A$3:$A$6,0)),"")</f>
        <v/>
      </c>
      <c r="AC260" s="47"/>
      <c r="AD260" s="44"/>
      <c r="AE260" s="51"/>
      <c r="AF260" s="52" t="str">
        <f aca="false">IF(OR(AC260="",AE260="",AB260=""),"",IFERROR(AC260/(1-AE260)*(1+AB260),""))</f>
        <v/>
      </c>
      <c r="AG260" s="47"/>
      <c r="AH260" s="52" t="str">
        <f aca="false">IF(AD260="FIJO",IF(AG260="","",AG260),IF(AF260&lt;&gt;"",AF260,IF(AG260="","",AG260)))</f>
        <v/>
      </c>
      <c r="AI260" s="52" t="str">
        <f aca="false">IF(OR(AH260="",AB260=""),"",IFERROR(AH260/(1+AB260),""))</f>
        <v/>
      </c>
      <c r="AJ260" s="50" t="str">
        <f aca="false">IF(OR(AI260="",AC260=""),"",IFERROR((AI260-AC260)/AI260,""))</f>
        <v/>
      </c>
      <c r="AK260" s="53" t="str">
        <f aca="false">IF(OR(AJ260="",AE260=""),"",AJ260-AE260)</f>
        <v/>
      </c>
      <c r="AL260" s="54" t="str">
        <f aca="false">IF(OR(AH260="",AF260=""),"",AH260-AF260)</f>
        <v/>
      </c>
      <c r="AM260" s="55" t="str">
        <f aca="false">IF(OR(A260="",K260&lt;&gt;"SI"),"",IF(AE260="","Sin objetivo",IF(AJ260="","Faltan datos",IF(AJ260&lt;0,"PÉRDIDA",IF(AK260&lt;-UMB_CRITICO,"MUY POR DEBAJO",IF(AK260&lt;-UMB_BAJO,"POR DEBAJO",IF(AK260&lt;-UMB_AJUSTADO,"AJUSTADO",IF(AK260&lt;=UMB_ALTO,"EN OBJETIVO","POR ENCIMA"))))))))</f>
        <v/>
      </c>
      <c r="AN260" s="44"/>
      <c r="AO260" s="44"/>
      <c r="AP260" s="46"/>
      <c r="AQ260" s="46"/>
      <c r="AR260" s="46"/>
      <c r="AS260" s="44"/>
      <c r="AT260" s="44"/>
      <c r="AU260" s="44"/>
      <c r="AV260" s="44"/>
      <c r="AW260" s="44"/>
      <c r="AX260" s="45"/>
      <c r="AY260" s="44"/>
      <c r="AZ260" s="56"/>
      <c r="BA260" s="45"/>
    </row>
    <row r="261" customFormat="false" ht="15" hidden="false" customHeight="false" outlineLevel="0" collapsed="false">
      <c r="A261" s="44"/>
      <c r="B261" s="44"/>
      <c r="C261" s="45"/>
      <c r="D261" s="45"/>
      <c r="E261" s="44"/>
      <c r="F261" s="44"/>
      <c r="G261" s="44"/>
      <c r="H261" s="44"/>
      <c r="I261" s="44"/>
      <c r="J261" s="44"/>
      <c r="K261" s="44"/>
      <c r="L261" s="44"/>
      <c r="M261" s="44"/>
      <c r="N261" s="44"/>
      <c r="O261" s="46"/>
      <c r="P261" s="44"/>
      <c r="Q261" s="46"/>
      <c r="R261" s="44"/>
      <c r="S261" s="45"/>
      <c r="T261" s="44"/>
      <c r="U261" s="44"/>
      <c r="V261" s="47"/>
      <c r="W261" s="48" t="str">
        <f aca="false">IF(V261="","",IFERROR(V261/O261,""))</f>
        <v/>
      </c>
      <c r="X261" s="44"/>
      <c r="Y261" s="46"/>
      <c r="Z261" s="49"/>
      <c r="AA261" s="44"/>
      <c r="AB261" s="50" t="str">
        <f aca="false">IFERROR(INDEX(TABLA_IVA!$C$3:$C$6,MATCH(AA261,TABLA_IVA!$A$3:$A$6,0)),"")</f>
        <v/>
      </c>
      <c r="AC261" s="47"/>
      <c r="AD261" s="44"/>
      <c r="AE261" s="51"/>
      <c r="AF261" s="52" t="str">
        <f aca="false">IF(OR(AC261="",AE261="",AB261=""),"",IFERROR(AC261/(1-AE261)*(1+AB261),""))</f>
        <v/>
      </c>
      <c r="AG261" s="47"/>
      <c r="AH261" s="52" t="str">
        <f aca="false">IF(AD261="FIJO",IF(AG261="","",AG261),IF(AF261&lt;&gt;"",AF261,IF(AG261="","",AG261)))</f>
        <v/>
      </c>
      <c r="AI261" s="52" t="str">
        <f aca="false">IF(OR(AH261="",AB261=""),"",IFERROR(AH261/(1+AB261),""))</f>
        <v/>
      </c>
      <c r="AJ261" s="50" t="str">
        <f aca="false">IF(OR(AI261="",AC261=""),"",IFERROR((AI261-AC261)/AI261,""))</f>
        <v/>
      </c>
      <c r="AK261" s="53" t="str">
        <f aca="false">IF(OR(AJ261="",AE261=""),"",AJ261-AE261)</f>
        <v/>
      </c>
      <c r="AL261" s="54" t="str">
        <f aca="false">IF(OR(AH261="",AF261=""),"",AH261-AF261)</f>
        <v/>
      </c>
      <c r="AM261" s="55" t="str">
        <f aca="false">IF(OR(A261="",K261&lt;&gt;"SI"),"",IF(AE261="","Sin objetivo",IF(AJ261="","Faltan datos",IF(AJ261&lt;0,"PÉRDIDA",IF(AK261&lt;-UMB_CRITICO,"MUY POR DEBAJO",IF(AK261&lt;-UMB_BAJO,"POR DEBAJO",IF(AK261&lt;-UMB_AJUSTADO,"AJUSTADO",IF(AK261&lt;=UMB_ALTO,"EN OBJETIVO","POR ENCIMA"))))))))</f>
        <v/>
      </c>
      <c r="AN261" s="44"/>
      <c r="AO261" s="44"/>
      <c r="AP261" s="46"/>
      <c r="AQ261" s="46"/>
      <c r="AR261" s="46"/>
      <c r="AS261" s="44"/>
      <c r="AT261" s="44"/>
      <c r="AU261" s="44"/>
      <c r="AV261" s="44"/>
      <c r="AW261" s="44"/>
      <c r="AX261" s="45"/>
      <c r="AY261" s="44"/>
      <c r="AZ261" s="56"/>
      <c r="BA261" s="45"/>
    </row>
    <row r="262" customFormat="false" ht="15" hidden="false" customHeight="false" outlineLevel="0" collapsed="false">
      <c r="A262" s="44"/>
      <c r="B262" s="44"/>
      <c r="C262" s="45"/>
      <c r="D262" s="45"/>
      <c r="E262" s="44"/>
      <c r="F262" s="44"/>
      <c r="G262" s="44"/>
      <c r="H262" s="44"/>
      <c r="I262" s="44"/>
      <c r="J262" s="44"/>
      <c r="K262" s="44"/>
      <c r="L262" s="44"/>
      <c r="M262" s="44"/>
      <c r="N262" s="44"/>
      <c r="O262" s="46"/>
      <c r="P262" s="44"/>
      <c r="Q262" s="46"/>
      <c r="R262" s="44"/>
      <c r="S262" s="45"/>
      <c r="T262" s="44"/>
      <c r="U262" s="44"/>
      <c r="V262" s="47"/>
      <c r="W262" s="48" t="str">
        <f aca="false">IF(V262="","",IFERROR(V262/O262,""))</f>
        <v/>
      </c>
      <c r="X262" s="44"/>
      <c r="Y262" s="46"/>
      <c r="Z262" s="49"/>
      <c r="AA262" s="44"/>
      <c r="AB262" s="50" t="str">
        <f aca="false">IFERROR(INDEX(TABLA_IVA!$C$3:$C$6,MATCH(AA262,TABLA_IVA!$A$3:$A$6,0)),"")</f>
        <v/>
      </c>
      <c r="AC262" s="47"/>
      <c r="AD262" s="44"/>
      <c r="AE262" s="51"/>
      <c r="AF262" s="52" t="str">
        <f aca="false">IF(OR(AC262="",AE262="",AB262=""),"",IFERROR(AC262/(1-AE262)*(1+AB262),""))</f>
        <v/>
      </c>
      <c r="AG262" s="47"/>
      <c r="AH262" s="52" t="str">
        <f aca="false">IF(AD262="FIJO",IF(AG262="","",AG262),IF(AF262&lt;&gt;"",AF262,IF(AG262="","",AG262)))</f>
        <v/>
      </c>
      <c r="AI262" s="52" t="str">
        <f aca="false">IF(OR(AH262="",AB262=""),"",IFERROR(AH262/(1+AB262),""))</f>
        <v/>
      </c>
      <c r="AJ262" s="50" t="str">
        <f aca="false">IF(OR(AI262="",AC262=""),"",IFERROR((AI262-AC262)/AI262,""))</f>
        <v/>
      </c>
      <c r="AK262" s="53" t="str">
        <f aca="false">IF(OR(AJ262="",AE262=""),"",AJ262-AE262)</f>
        <v/>
      </c>
      <c r="AL262" s="54" t="str">
        <f aca="false">IF(OR(AH262="",AF262=""),"",AH262-AF262)</f>
        <v/>
      </c>
      <c r="AM262" s="55" t="str">
        <f aca="false">IF(OR(A262="",K262&lt;&gt;"SI"),"",IF(AE262="","Sin objetivo",IF(AJ262="","Faltan datos",IF(AJ262&lt;0,"PÉRDIDA",IF(AK262&lt;-UMB_CRITICO,"MUY POR DEBAJO",IF(AK262&lt;-UMB_BAJO,"POR DEBAJO",IF(AK262&lt;-UMB_AJUSTADO,"AJUSTADO",IF(AK262&lt;=UMB_ALTO,"EN OBJETIVO","POR ENCIMA"))))))))</f>
        <v/>
      </c>
      <c r="AN262" s="44"/>
      <c r="AO262" s="44"/>
      <c r="AP262" s="46"/>
      <c r="AQ262" s="46"/>
      <c r="AR262" s="46"/>
      <c r="AS262" s="44"/>
      <c r="AT262" s="44"/>
      <c r="AU262" s="44"/>
      <c r="AV262" s="44"/>
      <c r="AW262" s="44"/>
      <c r="AX262" s="45"/>
      <c r="AY262" s="44"/>
      <c r="AZ262" s="56"/>
      <c r="BA262" s="45"/>
    </row>
    <row r="263" customFormat="false" ht="15" hidden="false" customHeight="false" outlineLevel="0" collapsed="false">
      <c r="A263" s="44"/>
      <c r="B263" s="44"/>
      <c r="C263" s="45"/>
      <c r="D263" s="45"/>
      <c r="E263" s="44"/>
      <c r="F263" s="44"/>
      <c r="G263" s="44"/>
      <c r="H263" s="44"/>
      <c r="I263" s="44"/>
      <c r="J263" s="44"/>
      <c r="K263" s="44"/>
      <c r="L263" s="44"/>
      <c r="M263" s="44"/>
      <c r="N263" s="44"/>
      <c r="O263" s="46"/>
      <c r="P263" s="44"/>
      <c r="Q263" s="46"/>
      <c r="R263" s="44"/>
      <c r="S263" s="45"/>
      <c r="T263" s="44"/>
      <c r="U263" s="44"/>
      <c r="V263" s="47"/>
      <c r="W263" s="48" t="str">
        <f aca="false">IF(V263="","",IFERROR(V263/O263,""))</f>
        <v/>
      </c>
      <c r="X263" s="44"/>
      <c r="Y263" s="46"/>
      <c r="Z263" s="49"/>
      <c r="AA263" s="44"/>
      <c r="AB263" s="50" t="str">
        <f aca="false">IFERROR(INDEX(TABLA_IVA!$C$3:$C$6,MATCH(AA263,TABLA_IVA!$A$3:$A$6,0)),"")</f>
        <v/>
      </c>
      <c r="AC263" s="47"/>
      <c r="AD263" s="44"/>
      <c r="AE263" s="51"/>
      <c r="AF263" s="52" t="str">
        <f aca="false">IF(OR(AC263="",AE263="",AB263=""),"",IFERROR(AC263/(1-AE263)*(1+AB263),""))</f>
        <v/>
      </c>
      <c r="AG263" s="47"/>
      <c r="AH263" s="52" t="str">
        <f aca="false">IF(AD263="FIJO",IF(AG263="","",AG263),IF(AF263&lt;&gt;"",AF263,IF(AG263="","",AG263)))</f>
        <v/>
      </c>
      <c r="AI263" s="52" t="str">
        <f aca="false">IF(OR(AH263="",AB263=""),"",IFERROR(AH263/(1+AB263),""))</f>
        <v/>
      </c>
      <c r="AJ263" s="50" t="str">
        <f aca="false">IF(OR(AI263="",AC263=""),"",IFERROR((AI263-AC263)/AI263,""))</f>
        <v/>
      </c>
      <c r="AK263" s="53" t="str">
        <f aca="false">IF(OR(AJ263="",AE263=""),"",AJ263-AE263)</f>
        <v/>
      </c>
      <c r="AL263" s="54" t="str">
        <f aca="false">IF(OR(AH263="",AF263=""),"",AH263-AF263)</f>
        <v/>
      </c>
      <c r="AM263" s="55" t="str">
        <f aca="false">IF(OR(A263="",K263&lt;&gt;"SI"),"",IF(AE263="","Sin objetivo",IF(AJ263="","Faltan datos",IF(AJ263&lt;0,"PÉRDIDA",IF(AK263&lt;-UMB_CRITICO,"MUY POR DEBAJO",IF(AK263&lt;-UMB_BAJO,"POR DEBAJO",IF(AK263&lt;-UMB_AJUSTADO,"AJUSTADO",IF(AK263&lt;=UMB_ALTO,"EN OBJETIVO","POR ENCIMA"))))))))</f>
        <v/>
      </c>
      <c r="AN263" s="44"/>
      <c r="AO263" s="44"/>
      <c r="AP263" s="46"/>
      <c r="AQ263" s="46"/>
      <c r="AR263" s="46"/>
      <c r="AS263" s="44"/>
      <c r="AT263" s="44"/>
      <c r="AU263" s="44"/>
      <c r="AV263" s="44"/>
      <c r="AW263" s="44"/>
      <c r="AX263" s="45"/>
      <c r="AY263" s="44"/>
      <c r="AZ263" s="56"/>
      <c r="BA263" s="45"/>
    </row>
    <row r="264" customFormat="false" ht="15" hidden="false" customHeight="false" outlineLevel="0" collapsed="false">
      <c r="A264" s="44"/>
      <c r="B264" s="44"/>
      <c r="C264" s="45"/>
      <c r="D264" s="45"/>
      <c r="E264" s="44"/>
      <c r="F264" s="44"/>
      <c r="G264" s="44"/>
      <c r="H264" s="44"/>
      <c r="I264" s="44"/>
      <c r="J264" s="44"/>
      <c r="K264" s="44"/>
      <c r="L264" s="44"/>
      <c r="M264" s="44"/>
      <c r="N264" s="44"/>
      <c r="O264" s="46"/>
      <c r="P264" s="44"/>
      <c r="Q264" s="46"/>
      <c r="R264" s="44"/>
      <c r="S264" s="45"/>
      <c r="T264" s="44"/>
      <c r="U264" s="44"/>
      <c r="V264" s="47"/>
      <c r="W264" s="48" t="str">
        <f aca="false">IF(V264="","",IFERROR(V264/O264,""))</f>
        <v/>
      </c>
      <c r="X264" s="44"/>
      <c r="Y264" s="46"/>
      <c r="Z264" s="49"/>
      <c r="AA264" s="44"/>
      <c r="AB264" s="50" t="str">
        <f aca="false">IFERROR(INDEX(TABLA_IVA!$C$3:$C$6,MATCH(AA264,TABLA_IVA!$A$3:$A$6,0)),"")</f>
        <v/>
      </c>
      <c r="AC264" s="47"/>
      <c r="AD264" s="44"/>
      <c r="AE264" s="51"/>
      <c r="AF264" s="52" t="str">
        <f aca="false">IF(OR(AC264="",AE264="",AB264=""),"",IFERROR(AC264/(1-AE264)*(1+AB264),""))</f>
        <v/>
      </c>
      <c r="AG264" s="47"/>
      <c r="AH264" s="52" t="str">
        <f aca="false">IF(AD264="FIJO",IF(AG264="","",AG264),IF(AF264&lt;&gt;"",AF264,IF(AG264="","",AG264)))</f>
        <v/>
      </c>
      <c r="AI264" s="52" t="str">
        <f aca="false">IF(OR(AH264="",AB264=""),"",IFERROR(AH264/(1+AB264),""))</f>
        <v/>
      </c>
      <c r="AJ264" s="50" t="str">
        <f aca="false">IF(OR(AI264="",AC264=""),"",IFERROR((AI264-AC264)/AI264,""))</f>
        <v/>
      </c>
      <c r="AK264" s="53" t="str">
        <f aca="false">IF(OR(AJ264="",AE264=""),"",AJ264-AE264)</f>
        <v/>
      </c>
      <c r="AL264" s="54" t="str">
        <f aca="false">IF(OR(AH264="",AF264=""),"",AH264-AF264)</f>
        <v/>
      </c>
      <c r="AM264" s="55" t="str">
        <f aca="false">IF(OR(A264="",K264&lt;&gt;"SI"),"",IF(AE264="","Sin objetivo",IF(AJ264="","Faltan datos",IF(AJ264&lt;0,"PÉRDIDA",IF(AK264&lt;-UMB_CRITICO,"MUY POR DEBAJO",IF(AK264&lt;-UMB_BAJO,"POR DEBAJO",IF(AK264&lt;-UMB_AJUSTADO,"AJUSTADO",IF(AK264&lt;=UMB_ALTO,"EN OBJETIVO","POR ENCIMA"))))))))</f>
        <v/>
      </c>
      <c r="AN264" s="44"/>
      <c r="AO264" s="44"/>
      <c r="AP264" s="46"/>
      <c r="AQ264" s="46"/>
      <c r="AR264" s="46"/>
      <c r="AS264" s="44"/>
      <c r="AT264" s="44"/>
      <c r="AU264" s="44"/>
      <c r="AV264" s="44"/>
      <c r="AW264" s="44"/>
      <c r="AX264" s="45"/>
      <c r="AY264" s="44"/>
      <c r="AZ264" s="56"/>
      <c r="BA264" s="45"/>
    </row>
    <row r="265" customFormat="false" ht="15" hidden="false" customHeight="false" outlineLevel="0" collapsed="false">
      <c r="A265" s="44"/>
      <c r="B265" s="44"/>
      <c r="C265" s="45"/>
      <c r="D265" s="45"/>
      <c r="E265" s="44"/>
      <c r="F265" s="44"/>
      <c r="G265" s="44"/>
      <c r="H265" s="44"/>
      <c r="I265" s="44"/>
      <c r="J265" s="44"/>
      <c r="K265" s="44"/>
      <c r="L265" s="44"/>
      <c r="M265" s="44"/>
      <c r="N265" s="44"/>
      <c r="O265" s="46"/>
      <c r="P265" s="44"/>
      <c r="Q265" s="46"/>
      <c r="R265" s="44"/>
      <c r="S265" s="45"/>
      <c r="T265" s="44"/>
      <c r="U265" s="44"/>
      <c r="V265" s="47"/>
      <c r="W265" s="48" t="str">
        <f aca="false">IF(V265="","",IFERROR(V265/O265,""))</f>
        <v/>
      </c>
      <c r="X265" s="44"/>
      <c r="Y265" s="46"/>
      <c r="Z265" s="49"/>
      <c r="AA265" s="44"/>
      <c r="AB265" s="50" t="str">
        <f aca="false">IFERROR(INDEX(TABLA_IVA!$C$3:$C$6,MATCH(AA265,TABLA_IVA!$A$3:$A$6,0)),"")</f>
        <v/>
      </c>
      <c r="AC265" s="47"/>
      <c r="AD265" s="44"/>
      <c r="AE265" s="51"/>
      <c r="AF265" s="52" t="str">
        <f aca="false">IF(OR(AC265="",AE265="",AB265=""),"",IFERROR(AC265/(1-AE265)*(1+AB265),""))</f>
        <v/>
      </c>
      <c r="AG265" s="47"/>
      <c r="AH265" s="52" t="str">
        <f aca="false">IF(AD265="FIJO",IF(AG265="","",AG265),IF(AF265&lt;&gt;"",AF265,IF(AG265="","",AG265)))</f>
        <v/>
      </c>
      <c r="AI265" s="52" t="str">
        <f aca="false">IF(OR(AH265="",AB265=""),"",IFERROR(AH265/(1+AB265),""))</f>
        <v/>
      </c>
      <c r="AJ265" s="50" t="str">
        <f aca="false">IF(OR(AI265="",AC265=""),"",IFERROR((AI265-AC265)/AI265,""))</f>
        <v/>
      </c>
      <c r="AK265" s="53" t="str">
        <f aca="false">IF(OR(AJ265="",AE265=""),"",AJ265-AE265)</f>
        <v/>
      </c>
      <c r="AL265" s="54" t="str">
        <f aca="false">IF(OR(AH265="",AF265=""),"",AH265-AF265)</f>
        <v/>
      </c>
      <c r="AM265" s="55" t="str">
        <f aca="false">IF(OR(A265="",K265&lt;&gt;"SI"),"",IF(AE265="","Sin objetivo",IF(AJ265="","Faltan datos",IF(AJ265&lt;0,"PÉRDIDA",IF(AK265&lt;-UMB_CRITICO,"MUY POR DEBAJO",IF(AK265&lt;-UMB_BAJO,"POR DEBAJO",IF(AK265&lt;-UMB_AJUSTADO,"AJUSTADO",IF(AK265&lt;=UMB_ALTO,"EN OBJETIVO","POR ENCIMA"))))))))</f>
        <v/>
      </c>
      <c r="AN265" s="44"/>
      <c r="AO265" s="44"/>
      <c r="AP265" s="46"/>
      <c r="AQ265" s="46"/>
      <c r="AR265" s="46"/>
      <c r="AS265" s="44"/>
      <c r="AT265" s="44"/>
      <c r="AU265" s="44"/>
      <c r="AV265" s="44"/>
      <c r="AW265" s="44"/>
      <c r="AX265" s="45"/>
      <c r="AY265" s="44"/>
      <c r="AZ265" s="56"/>
      <c r="BA265" s="45"/>
    </row>
    <row r="266" customFormat="false" ht="15" hidden="false" customHeight="false" outlineLevel="0" collapsed="false">
      <c r="A266" s="44"/>
      <c r="B266" s="44"/>
      <c r="C266" s="45"/>
      <c r="D266" s="45"/>
      <c r="E266" s="44"/>
      <c r="F266" s="44"/>
      <c r="G266" s="44"/>
      <c r="H266" s="44"/>
      <c r="I266" s="44"/>
      <c r="J266" s="44"/>
      <c r="K266" s="44"/>
      <c r="L266" s="44"/>
      <c r="M266" s="44"/>
      <c r="N266" s="44"/>
      <c r="O266" s="46"/>
      <c r="P266" s="44"/>
      <c r="Q266" s="46"/>
      <c r="R266" s="44"/>
      <c r="S266" s="45"/>
      <c r="T266" s="44"/>
      <c r="U266" s="44"/>
      <c r="V266" s="47"/>
      <c r="W266" s="48" t="str">
        <f aca="false">IF(V266="","",IFERROR(V266/O266,""))</f>
        <v/>
      </c>
      <c r="X266" s="44"/>
      <c r="Y266" s="46"/>
      <c r="Z266" s="49"/>
      <c r="AA266" s="44"/>
      <c r="AB266" s="50" t="str">
        <f aca="false">IFERROR(INDEX(TABLA_IVA!$C$3:$C$6,MATCH(AA266,TABLA_IVA!$A$3:$A$6,0)),"")</f>
        <v/>
      </c>
      <c r="AC266" s="47"/>
      <c r="AD266" s="44"/>
      <c r="AE266" s="51"/>
      <c r="AF266" s="52" t="str">
        <f aca="false">IF(OR(AC266="",AE266="",AB266=""),"",IFERROR(AC266/(1-AE266)*(1+AB266),""))</f>
        <v/>
      </c>
      <c r="AG266" s="47"/>
      <c r="AH266" s="52" t="str">
        <f aca="false">IF(AD266="FIJO",IF(AG266="","",AG266),IF(AF266&lt;&gt;"",AF266,IF(AG266="","",AG266)))</f>
        <v/>
      </c>
      <c r="AI266" s="52" t="str">
        <f aca="false">IF(OR(AH266="",AB266=""),"",IFERROR(AH266/(1+AB266),""))</f>
        <v/>
      </c>
      <c r="AJ266" s="50" t="str">
        <f aca="false">IF(OR(AI266="",AC266=""),"",IFERROR((AI266-AC266)/AI266,""))</f>
        <v/>
      </c>
      <c r="AK266" s="53" t="str">
        <f aca="false">IF(OR(AJ266="",AE266=""),"",AJ266-AE266)</f>
        <v/>
      </c>
      <c r="AL266" s="54" t="str">
        <f aca="false">IF(OR(AH266="",AF266=""),"",AH266-AF266)</f>
        <v/>
      </c>
      <c r="AM266" s="55" t="str">
        <f aca="false">IF(OR(A266="",K266&lt;&gt;"SI"),"",IF(AE266="","Sin objetivo",IF(AJ266="","Faltan datos",IF(AJ266&lt;0,"PÉRDIDA",IF(AK266&lt;-UMB_CRITICO,"MUY POR DEBAJO",IF(AK266&lt;-UMB_BAJO,"POR DEBAJO",IF(AK266&lt;-UMB_AJUSTADO,"AJUSTADO",IF(AK266&lt;=UMB_ALTO,"EN OBJETIVO","POR ENCIMA"))))))))</f>
        <v/>
      </c>
      <c r="AN266" s="44"/>
      <c r="AO266" s="44"/>
      <c r="AP266" s="46"/>
      <c r="AQ266" s="46"/>
      <c r="AR266" s="46"/>
      <c r="AS266" s="44"/>
      <c r="AT266" s="44"/>
      <c r="AU266" s="44"/>
      <c r="AV266" s="44"/>
      <c r="AW266" s="44"/>
      <c r="AX266" s="45"/>
      <c r="AY266" s="44"/>
      <c r="AZ266" s="56"/>
      <c r="BA266" s="45"/>
    </row>
    <row r="267" customFormat="false" ht="15" hidden="false" customHeight="false" outlineLevel="0" collapsed="false">
      <c r="A267" s="44"/>
      <c r="B267" s="44"/>
      <c r="C267" s="45"/>
      <c r="D267" s="45"/>
      <c r="E267" s="44"/>
      <c r="F267" s="44"/>
      <c r="G267" s="44"/>
      <c r="H267" s="44"/>
      <c r="I267" s="44"/>
      <c r="J267" s="44"/>
      <c r="K267" s="44"/>
      <c r="L267" s="44"/>
      <c r="M267" s="44"/>
      <c r="N267" s="44"/>
      <c r="O267" s="46"/>
      <c r="P267" s="44"/>
      <c r="Q267" s="46"/>
      <c r="R267" s="44"/>
      <c r="S267" s="45"/>
      <c r="T267" s="44"/>
      <c r="U267" s="44"/>
      <c r="V267" s="47"/>
      <c r="W267" s="48" t="str">
        <f aca="false">IF(V267="","",IFERROR(V267/O267,""))</f>
        <v/>
      </c>
      <c r="X267" s="44"/>
      <c r="Y267" s="46"/>
      <c r="Z267" s="49"/>
      <c r="AA267" s="44"/>
      <c r="AB267" s="50" t="str">
        <f aca="false">IFERROR(INDEX(TABLA_IVA!$C$3:$C$6,MATCH(AA267,TABLA_IVA!$A$3:$A$6,0)),"")</f>
        <v/>
      </c>
      <c r="AC267" s="47"/>
      <c r="AD267" s="44"/>
      <c r="AE267" s="51"/>
      <c r="AF267" s="52" t="str">
        <f aca="false">IF(OR(AC267="",AE267="",AB267=""),"",IFERROR(AC267/(1-AE267)*(1+AB267),""))</f>
        <v/>
      </c>
      <c r="AG267" s="47"/>
      <c r="AH267" s="52" t="str">
        <f aca="false">IF(AD267="FIJO",IF(AG267="","",AG267),IF(AF267&lt;&gt;"",AF267,IF(AG267="","",AG267)))</f>
        <v/>
      </c>
      <c r="AI267" s="52" t="str">
        <f aca="false">IF(OR(AH267="",AB267=""),"",IFERROR(AH267/(1+AB267),""))</f>
        <v/>
      </c>
      <c r="AJ267" s="50" t="str">
        <f aca="false">IF(OR(AI267="",AC267=""),"",IFERROR((AI267-AC267)/AI267,""))</f>
        <v/>
      </c>
      <c r="AK267" s="53" t="str">
        <f aca="false">IF(OR(AJ267="",AE267=""),"",AJ267-AE267)</f>
        <v/>
      </c>
      <c r="AL267" s="54" t="str">
        <f aca="false">IF(OR(AH267="",AF267=""),"",AH267-AF267)</f>
        <v/>
      </c>
      <c r="AM267" s="55" t="str">
        <f aca="false">IF(OR(A267="",K267&lt;&gt;"SI"),"",IF(AE267="","Sin objetivo",IF(AJ267="","Faltan datos",IF(AJ267&lt;0,"PÉRDIDA",IF(AK267&lt;-UMB_CRITICO,"MUY POR DEBAJO",IF(AK267&lt;-UMB_BAJO,"POR DEBAJO",IF(AK267&lt;-UMB_AJUSTADO,"AJUSTADO",IF(AK267&lt;=UMB_ALTO,"EN OBJETIVO","POR ENCIMA"))))))))</f>
        <v/>
      </c>
      <c r="AN267" s="44"/>
      <c r="AO267" s="44"/>
      <c r="AP267" s="46"/>
      <c r="AQ267" s="46"/>
      <c r="AR267" s="46"/>
      <c r="AS267" s="44"/>
      <c r="AT267" s="44"/>
      <c r="AU267" s="44"/>
      <c r="AV267" s="44"/>
      <c r="AW267" s="44"/>
      <c r="AX267" s="45"/>
      <c r="AY267" s="44"/>
      <c r="AZ267" s="56"/>
      <c r="BA267" s="45"/>
    </row>
    <row r="268" customFormat="false" ht="15" hidden="false" customHeight="false" outlineLevel="0" collapsed="false">
      <c r="A268" s="44"/>
      <c r="B268" s="44"/>
      <c r="C268" s="45"/>
      <c r="D268" s="45"/>
      <c r="E268" s="44"/>
      <c r="F268" s="44"/>
      <c r="G268" s="44"/>
      <c r="H268" s="44"/>
      <c r="I268" s="44"/>
      <c r="J268" s="44"/>
      <c r="K268" s="44"/>
      <c r="L268" s="44"/>
      <c r="M268" s="44"/>
      <c r="N268" s="44"/>
      <c r="O268" s="46"/>
      <c r="P268" s="44"/>
      <c r="Q268" s="46"/>
      <c r="R268" s="44"/>
      <c r="S268" s="45"/>
      <c r="T268" s="44"/>
      <c r="U268" s="44"/>
      <c r="V268" s="47"/>
      <c r="W268" s="48" t="str">
        <f aca="false">IF(V268="","",IFERROR(V268/O268,""))</f>
        <v/>
      </c>
      <c r="X268" s="44"/>
      <c r="Y268" s="46"/>
      <c r="Z268" s="49"/>
      <c r="AA268" s="44"/>
      <c r="AB268" s="50" t="str">
        <f aca="false">IFERROR(INDEX(TABLA_IVA!$C$3:$C$6,MATCH(AA268,TABLA_IVA!$A$3:$A$6,0)),"")</f>
        <v/>
      </c>
      <c r="AC268" s="47"/>
      <c r="AD268" s="44"/>
      <c r="AE268" s="51"/>
      <c r="AF268" s="52" t="str">
        <f aca="false">IF(OR(AC268="",AE268="",AB268=""),"",IFERROR(AC268/(1-AE268)*(1+AB268),""))</f>
        <v/>
      </c>
      <c r="AG268" s="47"/>
      <c r="AH268" s="52" t="str">
        <f aca="false">IF(AD268="FIJO",IF(AG268="","",AG268),IF(AF268&lt;&gt;"",AF268,IF(AG268="","",AG268)))</f>
        <v/>
      </c>
      <c r="AI268" s="52" t="str">
        <f aca="false">IF(OR(AH268="",AB268=""),"",IFERROR(AH268/(1+AB268),""))</f>
        <v/>
      </c>
      <c r="AJ268" s="50" t="str">
        <f aca="false">IF(OR(AI268="",AC268=""),"",IFERROR((AI268-AC268)/AI268,""))</f>
        <v/>
      </c>
      <c r="AK268" s="53" t="str">
        <f aca="false">IF(OR(AJ268="",AE268=""),"",AJ268-AE268)</f>
        <v/>
      </c>
      <c r="AL268" s="54" t="str">
        <f aca="false">IF(OR(AH268="",AF268=""),"",AH268-AF268)</f>
        <v/>
      </c>
      <c r="AM268" s="55" t="str">
        <f aca="false">IF(OR(A268="",K268&lt;&gt;"SI"),"",IF(AE268="","Sin objetivo",IF(AJ268="","Faltan datos",IF(AJ268&lt;0,"PÉRDIDA",IF(AK268&lt;-UMB_CRITICO,"MUY POR DEBAJO",IF(AK268&lt;-UMB_BAJO,"POR DEBAJO",IF(AK268&lt;-UMB_AJUSTADO,"AJUSTADO",IF(AK268&lt;=UMB_ALTO,"EN OBJETIVO","POR ENCIMA"))))))))</f>
        <v/>
      </c>
      <c r="AN268" s="44"/>
      <c r="AO268" s="44"/>
      <c r="AP268" s="46"/>
      <c r="AQ268" s="46"/>
      <c r="AR268" s="46"/>
      <c r="AS268" s="44"/>
      <c r="AT268" s="44"/>
      <c r="AU268" s="44"/>
      <c r="AV268" s="44"/>
      <c r="AW268" s="44"/>
      <c r="AX268" s="45"/>
      <c r="AY268" s="44"/>
      <c r="AZ268" s="56"/>
      <c r="BA268" s="45"/>
    </row>
    <row r="269" customFormat="false" ht="15" hidden="false" customHeight="false" outlineLevel="0" collapsed="false">
      <c r="A269" s="44"/>
      <c r="B269" s="44"/>
      <c r="C269" s="45"/>
      <c r="D269" s="45"/>
      <c r="E269" s="44"/>
      <c r="F269" s="44"/>
      <c r="G269" s="44"/>
      <c r="H269" s="44"/>
      <c r="I269" s="44"/>
      <c r="J269" s="44"/>
      <c r="K269" s="44"/>
      <c r="L269" s="44"/>
      <c r="M269" s="44"/>
      <c r="N269" s="44"/>
      <c r="O269" s="46"/>
      <c r="P269" s="44"/>
      <c r="Q269" s="46"/>
      <c r="R269" s="44"/>
      <c r="S269" s="45"/>
      <c r="T269" s="44"/>
      <c r="U269" s="44"/>
      <c r="V269" s="47"/>
      <c r="W269" s="48" t="str">
        <f aca="false">IF(V269="","",IFERROR(V269/O269,""))</f>
        <v/>
      </c>
      <c r="X269" s="44"/>
      <c r="Y269" s="46"/>
      <c r="Z269" s="49"/>
      <c r="AA269" s="44"/>
      <c r="AB269" s="50" t="str">
        <f aca="false">IFERROR(INDEX(TABLA_IVA!$C$3:$C$6,MATCH(AA269,TABLA_IVA!$A$3:$A$6,0)),"")</f>
        <v/>
      </c>
      <c r="AC269" s="47"/>
      <c r="AD269" s="44"/>
      <c r="AE269" s="51"/>
      <c r="AF269" s="52" t="str">
        <f aca="false">IF(OR(AC269="",AE269="",AB269=""),"",IFERROR(AC269/(1-AE269)*(1+AB269),""))</f>
        <v/>
      </c>
      <c r="AG269" s="47"/>
      <c r="AH269" s="52" t="str">
        <f aca="false">IF(AD269="FIJO",IF(AG269="","",AG269),IF(AF269&lt;&gt;"",AF269,IF(AG269="","",AG269)))</f>
        <v/>
      </c>
      <c r="AI269" s="52" t="str">
        <f aca="false">IF(OR(AH269="",AB269=""),"",IFERROR(AH269/(1+AB269),""))</f>
        <v/>
      </c>
      <c r="AJ269" s="50" t="str">
        <f aca="false">IF(OR(AI269="",AC269=""),"",IFERROR((AI269-AC269)/AI269,""))</f>
        <v/>
      </c>
      <c r="AK269" s="53" t="str">
        <f aca="false">IF(OR(AJ269="",AE269=""),"",AJ269-AE269)</f>
        <v/>
      </c>
      <c r="AL269" s="54" t="str">
        <f aca="false">IF(OR(AH269="",AF269=""),"",AH269-AF269)</f>
        <v/>
      </c>
      <c r="AM269" s="55" t="str">
        <f aca="false">IF(OR(A269="",K269&lt;&gt;"SI"),"",IF(AE269="","Sin objetivo",IF(AJ269="","Faltan datos",IF(AJ269&lt;0,"PÉRDIDA",IF(AK269&lt;-UMB_CRITICO,"MUY POR DEBAJO",IF(AK269&lt;-UMB_BAJO,"POR DEBAJO",IF(AK269&lt;-UMB_AJUSTADO,"AJUSTADO",IF(AK269&lt;=UMB_ALTO,"EN OBJETIVO","POR ENCIMA"))))))))</f>
        <v/>
      </c>
      <c r="AN269" s="44"/>
      <c r="AO269" s="44"/>
      <c r="AP269" s="46"/>
      <c r="AQ269" s="46"/>
      <c r="AR269" s="46"/>
      <c r="AS269" s="44"/>
      <c r="AT269" s="44"/>
      <c r="AU269" s="44"/>
      <c r="AV269" s="44"/>
      <c r="AW269" s="44"/>
      <c r="AX269" s="45"/>
      <c r="AY269" s="44"/>
      <c r="AZ269" s="56"/>
      <c r="BA269" s="45"/>
    </row>
    <row r="270" customFormat="false" ht="15" hidden="false" customHeight="false" outlineLevel="0" collapsed="false">
      <c r="A270" s="44"/>
      <c r="B270" s="44"/>
      <c r="C270" s="45"/>
      <c r="D270" s="45"/>
      <c r="E270" s="44"/>
      <c r="F270" s="44"/>
      <c r="G270" s="44"/>
      <c r="H270" s="44"/>
      <c r="I270" s="44"/>
      <c r="J270" s="44"/>
      <c r="K270" s="44"/>
      <c r="L270" s="44"/>
      <c r="M270" s="44"/>
      <c r="N270" s="44"/>
      <c r="O270" s="46"/>
      <c r="P270" s="44"/>
      <c r="Q270" s="46"/>
      <c r="R270" s="44"/>
      <c r="S270" s="45"/>
      <c r="T270" s="44"/>
      <c r="U270" s="44"/>
      <c r="V270" s="47"/>
      <c r="W270" s="48" t="str">
        <f aca="false">IF(V270="","",IFERROR(V270/O270,""))</f>
        <v/>
      </c>
      <c r="X270" s="44"/>
      <c r="Y270" s="46"/>
      <c r="Z270" s="49"/>
      <c r="AA270" s="44"/>
      <c r="AB270" s="50" t="str">
        <f aca="false">IFERROR(INDEX(TABLA_IVA!$C$3:$C$6,MATCH(AA270,TABLA_IVA!$A$3:$A$6,0)),"")</f>
        <v/>
      </c>
      <c r="AC270" s="47"/>
      <c r="AD270" s="44"/>
      <c r="AE270" s="51"/>
      <c r="AF270" s="52" t="str">
        <f aca="false">IF(OR(AC270="",AE270="",AB270=""),"",IFERROR(AC270/(1-AE270)*(1+AB270),""))</f>
        <v/>
      </c>
      <c r="AG270" s="47"/>
      <c r="AH270" s="52" t="str">
        <f aca="false">IF(AD270="FIJO",IF(AG270="","",AG270),IF(AF270&lt;&gt;"",AF270,IF(AG270="","",AG270)))</f>
        <v/>
      </c>
      <c r="AI270" s="52" t="str">
        <f aca="false">IF(OR(AH270="",AB270=""),"",IFERROR(AH270/(1+AB270),""))</f>
        <v/>
      </c>
      <c r="AJ270" s="50" t="str">
        <f aca="false">IF(OR(AI270="",AC270=""),"",IFERROR((AI270-AC270)/AI270,""))</f>
        <v/>
      </c>
      <c r="AK270" s="53" t="str">
        <f aca="false">IF(OR(AJ270="",AE270=""),"",AJ270-AE270)</f>
        <v/>
      </c>
      <c r="AL270" s="54" t="str">
        <f aca="false">IF(OR(AH270="",AF270=""),"",AH270-AF270)</f>
        <v/>
      </c>
      <c r="AM270" s="55" t="str">
        <f aca="false">IF(OR(A270="",K270&lt;&gt;"SI"),"",IF(AE270="","Sin objetivo",IF(AJ270="","Faltan datos",IF(AJ270&lt;0,"PÉRDIDA",IF(AK270&lt;-UMB_CRITICO,"MUY POR DEBAJO",IF(AK270&lt;-UMB_BAJO,"POR DEBAJO",IF(AK270&lt;-UMB_AJUSTADO,"AJUSTADO",IF(AK270&lt;=UMB_ALTO,"EN OBJETIVO","POR ENCIMA"))))))))</f>
        <v/>
      </c>
      <c r="AN270" s="44"/>
      <c r="AO270" s="44"/>
      <c r="AP270" s="46"/>
      <c r="AQ270" s="46"/>
      <c r="AR270" s="46"/>
      <c r="AS270" s="44"/>
      <c r="AT270" s="44"/>
      <c r="AU270" s="44"/>
      <c r="AV270" s="44"/>
      <c r="AW270" s="44"/>
      <c r="AX270" s="45"/>
      <c r="AY270" s="44"/>
      <c r="AZ270" s="56"/>
      <c r="BA270" s="45"/>
    </row>
    <row r="271" customFormat="false" ht="15" hidden="false" customHeight="false" outlineLevel="0" collapsed="false">
      <c r="A271" s="44"/>
      <c r="B271" s="44"/>
      <c r="C271" s="45"/>
      <c r="D271" s="45"/>
      <c r="E271" s="44"/>
      <c r="F271" s="44"/>
      <c r="G271" s="44"/>
      <c r="H271" s="44"/>
      <c r="I271" s="44"/>
      <c r="J271" s="44"/>
      <c r="K271" s="44"/>
      <c r="L271" s="44"/>
      <c r="M271" s="44"/>
      <c r="N271" s="44"/>
      <c r="O271" s="46"/>
      <c r="P271" s="44"/>
      <c r="Q271" s="46"/>
      <c r="R271" s="44"/>
      <c r="S271" s="45"/>
      <c r="T271" s="44"/>
      <c r="U271" s="44"/>
      <c r="V271" s="47"/>
      <c r="W271" s="48" t="str">
        <f aca="false">IF(V271="","",IFERROR(V271/O271,""))</f>
        <v/>
      </c>
      <c r="X271" s="44"/>
      <c r="Y271" s="46"/>
      <c r="Z271" s="49"/>
      <c r="AA271" s="44"/>
      <c r="AB271" s="50" t="str">
        <f aca="false">IFERROR(INDEX(TABLA_IVA!$C$3:$C$6,MATCH(AA271,TABLA_IVA!$A$3:$A$6,0)),"")</f>
        <v/>
      </c>
      <c r="AC271" s="47"/>
      <c r="AD271" s="44"/>
      <c r="AE271" s="51"/>
      <c r="AF271" s="52" t="str">
        <f aca="false">IF(OR(AC271="",AE271="",AB271=""),"",IFERROR(AC271/(1-AE271)*(1+AB271),""))</f>
        <v/>
      </c>
      <c r="AG271" s="47"/>
      <c r="AH271" s="52" t="str">
        <f aca="false">IF(AD271="FIJO",IF(AG271="","",AG271),IF(AF271&lt;&gt;"",AF271,IF(AG271="","",AG271)))</f>
        <v/>
      </c>
      <c r="AI271" s="52" t="str">
        <f aca="false">IF(OR(AH271="",AB271=""),"",IFERROR(AH271/(1+AB271),""))</f>
        <v/>
      </c>
      <c r="AJ271" s="50" t="str">
        <f aca="false">IF(OR(AI271="",AC271=""),"",IFERROR((AI271-AC271)/AI271,""))</f>
        <v/>
      </c>
      <c r="AK271" s="53" t="str">
        <f aca="false">IF(OR(AJ271="",AE271=""),"",AJ271-AE271)</f>
        <v/>
      </c>
      <c r="AL271" s="54" t="str">
        <f aca="false">IF(OR(AH271="",AF271=""),"",AH271-AF271)</f>
        <v/>
      </c>
      <c r="AM271" s="55" t="str">
        <f aca="false">IF(OR(A271="",K271&lt;&gt;"SI"),"",IF(AE271="","Sin objetivo",IF(AJ271="","Faltan datos",IF(AJ271&lt;0,"PÉRDIDA",IF(AK271&lt;-UMB_CRITICO,"MUY POR DEBAJO",IF(AK271&lt;-UMB_BAJO,"POR DEBAJO",IF(AK271&lt;-UMB_AJUSTADO,"AJUSTADO",IF(AK271&lt;=UMB_ALTO,"EN OBJETIVO","POR ENCIMA"))))))))</f>
        <v/>
      </c>
      <c r="AN271" s="44"/>
      <c r="AO271" s="44"/>
      <c r="AP271" s="46"/>
      <c r="AQ271" s="46"/>
      <c r="AR271" s="46"/>
      <c r="AS271" s="44"/>
      <c r="AT271" s="44"/>
      <c r="AU271" s="44"/>
      <c r="AV271" s="44"/>
      <c r="AW271" s="44"/>
      <c r="AX271" s="45"/>
      <c r="AY271" s="44"/>
      <c r="AZ271" s="56"/>
      <c r="BA271" s="45"/>
    </row>
    <row r="272" customFormat="false" ht="15" hidden="false" customHeight="false" outlineLevel="0" collapsed="false">
      <c r="A272" s="44"/>
      <c r="B272" s="44"/>
      <c r="C272" s="45"/>
      <c r="D272" s="45"/>
      <c r="E272" s="44"/>
      <c r="F272" s="44"/>
      <c r="G272" s="44"/>
      <c r="H272" s="44"/>
      <c r="I272" s="44"/>
      <c r="J272" s="44"/>
      <c r="K272" s="44"/>
      <c r="L272" s="44"/>
      <c r="M272" s="44"/>
      <c r="N272" s="44"/>
      <c r="O272" s="46"/>
      <c r="P272" s="44"/>
      <c r="Q272" s="46"/>
      <c r="R272" s="44"/>
      <c r="S272" s="45"/>
      <c r="T272" s="44"/>
      <c r="U272" s="44"/>
      <c r="V272" s="47"/>
      <c r="W272" s="48" t="str">
        <f aca="false">IF(V272="","",IFERROR(V272/O272,""))</f>
        <v/>
      </c>
      <c r="X272" s="44"/>
      <c r="Y272" s="46"/>
      <c r="Z272" s="49"/>
      <c r="AA272" s="44"/>
      <c r="AB272" s="50" t="str">
        <f aca="false">IFERROR(INDEX(TABLA_IVA!$C$3:$C$6,MATCH(AA272,TABLA_IVA!$A$3:$A$6,0)),"")</f>
        <v/>
      </c>
      <c r="AC272" s="47"/>
      <c r="AD272" s="44"/>
      <c r="AE272" s="51"/>
      <c r="AF272" s="52" t="str">
        <f aca="false">IF(OR(AC272="",AE272="",AB272=""),"",IFERROR(AC272/(1-AE272)*(1+AB272),""))</f>
        <v/>
      </c>
      <c r="AG272" s="47"/>
      <c r="AH272" s="52" t="str">
        <f aca="false">IF(AD272="FIJO",IF(AG272="","",AG272),IF(AF272&lt;&gt;"",AF272,IF(AG272="","",AG272)))</f>
        <v/>
      </c>
      <c r="AI272" s="52" t="str">
        <f aca="false">IF(OR(AH272="",AB272=""),"",IFERROR(AH272/(1+AB272),""))</f>
        <v/>
      </c>
      <c r="AJ272" s="50" t="str">
        <f aca="false">IF(OR(AI272="",AC272=""),"",IFERROR((AI272-AC272)/AI272,""))</f>
        <v/>
      </c>
      <c r="AK272" s="53" t="str">
        <f aca="false">IF(OR(AJ272="",AE272=""),"",AJ272-AE272)</f>
        <v/>
      </c>
      <c r="AL272" s="54" t="str">
        <f aca="false">IF(OR(AH272="",AF272=""),"",AH272-AF272)</f>
        <v/>
      </c>
      <c r="AM272" s="55" t="str">
        <f aca="false">IF(OR(A272="",K272&lt;&gt;"SI"),"",IF(AE272="","Sin objetivo",IF(AJ272="","Faltan datos",IF(AJ272&lt;0,"PÉRDIDA",IF(AK272&lt;-UMB_CRITICO,"MUY POR DEBAJO",IF(AK272&lt;-UMB_BAJO,"POR DEBAJO",IF(AK272&lt;-UMB_AJUSTADO,"AJUSTADO",IF(AK272&lt;=UMB_ALTO,"EN OBJETIVO","POR ENCIMA"))))))))</f>
        <v/>
      </c>
      <c r="AN272" s="44"/>
      <c r="AO272" s="44"/>
      <c r="AP272" s="46"/>
      <c r="AQ272" s="46"/>
      <c r="AR272" s="46"/>
      <c r="AS272" s="44"/>
      <c r="AT272" s="44"/>
      <c r="AU272" s="44"/>
      <c r="AV272" s="44"/>
      <c r="AW272" s="44"/>
      <c r="AX272" s="45"/>
      <c r="AY272" s="44"/>
      <c r="AZ272" s="56"/>
      <c r="BA272" s="45"/>
    </row>
    <row r="273" customFormat="false" ht="15" hidden="false" customHeight="false" outlineLevel="0" collapsed="false">
      <c r="A273" s="44"/>
      <c r="B273" s="44"/>
      <c r="C273" s="45"/>
      <c r="D273" s="45"/>
      <c r="E273" s="44"/>
      <c r="F273" s="44"/>
      <c r="G273" s="44"/>
      <c r="H273" s="44"/>
      <c r="I273" s="44"/>
      <c r="J273" s="44"/>
      <c r="K273" s="44"/>
      <c r="L273" s="44"/>
      <c r="M273" s="44"/>
      <c r="N273" s="44"/>
      <c r="O273" s="46"/>
      <c r="P273" s="44"/>
      <c r="Q273" s="46"/>
      <c r="R273" s="44"/>
      <c r="S273" s="45"/>
      <c r="T273" s="44"/>
      <c r="U273" s="44"/>
      <c r="V273" s="47"/>
      <c r="W273" s="48" t="str">
        <f aca="false">IF(V273="","",IFERROR(V273/O273,""))</f>
        <v/>
      </c>
      <c r="X273" s="44"/>
      <c r="Y273" s="46"/>
      <c r="Z273" s="49"/>
      <c r="AA273" s="44"/>
      <c r="AB273" s="50" t="str">
        <f aca="false">IFERROR(INDEX(TABLA_IVA!$C$3:$C$6,MATCH(AA273,TABLA_IVA!$A$3:$A$6,0)),"")</f>
        <v/>
      </c>
      <c r="AC273" s="47"/>
      <c r="AD273" s="44"/>
      <c r="AE273" s="51"/>
      <c r="AF273" s="52" t="str">
        <f aca="false">IF(OR(AC273="",AE273="",AB273=""),"",IFERROR(AC273/(1-AE273)*(1+AB273),""))</f>
        <v/>
      </c>
      <c r="AG273" s="47"/>
      <c r="AH273" s="52" t="str">
        <f aca="false">IF(AD273="FIJO",IF(AG273="","",AG273),IF(AF273&lt;&gt;"",AF273,IF(AG273="","",AG273)))</f>
        <v/>
      </c>
      <c r="AI273" s="52" t="str">
        <f aca="false">IF(OR(AH273="",AB273=""),"",IFERROR(AH273/(1+AB273),""))</f>
        <v/>
      </c>
      <c r="AJ273" s="50" t="str">
        <f aca="false">IF(OR(AI273="",AC273=""),"",IFERROR((AI273-AC273)/AI273,""))</f>
        <v/>
      </c>
      <c r="AK273" s="53" t="str">
        <f aca="false">IF(OR(AJ273="",AE273=""),"",AJ273-AE273)</f>
        <v/>
      </c>
      <c r="AL273" s="54" t="str">
        <f aca="false">IF(OR(AH273="",AF273=""),"",AH273-AF273)</f>
        <v/>
      </c>
      <c r="AM273" s="55" t="str">
        <f aca="false">IF(OR(A273="",K273&lt;&gt;"SI"),"",IF(AE273="","Sin objetivo",IF(AJ273="","Faltan datos",IF(AJ273&lt;0,"PÉRDIDA",IF(AK273&lt;-UMB_CRITICO,"MUY POR DEBAJO",IF(AK273&lt;-UMB_BAJO,"POR DEBAJO",IF(AK273&lt;-UMB_AJUSTADO,"AJUSTADO",IF(AK273&lt;=UMB_ALTO,"EN OBJETIVO","POR ENCIMA"))))))))</f>
        <v/>
      </c>
      <c r="AN273" s="44"/>
      <c r="AO273" s="44"/>
      <c r="AP273" s="46"/>
      <c r="AQ273" s="46"/>
      <c r="AR273" s="46"/>
      <c r="AS273" s="44"/>
      <c r="AT273" s="44"/>
      <c r="AU273" s="44"/>
      <c r="AV273" s="44"/>
      <c r="AW273" s="44"/>
      <c r="AX273" s="45"/>
      <c r="AY273" s="44"/>
      <c r="AZ273" s="56"/>
      <c r="BA273" s="45"/>
    </row>
    <row r="274" customFormat="false" ht="15" hidden="false" customHeight="false" outlineLevel="0" collapsed="false">
      <c r="A274" s="44"/>
      <c r="B274" s="44"/>
      <c r="C274" s="45"/>
      <c r="D274" s="45"/>
      <c r="E274" s="44"/>
      <c r="F274" s="44"/>
      <c r="G274" s="44"/>
      <c r="H274" s="44"/>
      <c r="I274" s="44"/>
      <c r="J274" s="44"/>
      <c r="K274" s="44"/>
      <c r="L274" s="44"/>
      <c r="M274" s="44"/>
      <c r="N274" s="44"/>
      <c r="O274" s="46"/>
      <c r="P274" s="44"/>
      <c r="Q274" s="46"/>
      <c r="R274" s="44"/>
      <c r="S274" s="45"/>
      <c r="T274" s="44"/>
      <c r="U274" s="44"/>
      <c r="V274" s="47"/>
      <c r="W274" s="48" t="str">
        <f aca="false">IF(V274="","",IFERROR(V274/O274,""))</f>
        <v/>
      </c>
      <c r="X274" s="44"/>
      <c r="Y274" s="46"/>
      <c r="Z274" s="49"/>
      <c r="AA274" s="44"/>
      <c r="AB274" s="50" t="str">
        <f aca="false">IFERROR(INDEX(TABLA_IVA!$C$3:$C$6,MATCH(AA274,TABLA_IVA!$A$3:$A$6,0)),"")</f>
        <v/>
      </c>
      <c r="AC274" s="47"/>
      <c r="AD274" s="44"/>
      <c r="AE274" s="51"/>
      <c r="AF274" s="52" t="str">
        <f aca="false">IF(OR(AC274="",AE274="",AB274=""),"",IFERROR(AC274/(1-AE274)*(1+AB274),""))</f>
        <v/>
      </c>
      <c r="AG274" s="47"/>
      <c r="AH274" s="52" t="str">
        <f aca="false">IF(AD274="FIJO",IF(AG274="","",AG274),IF(AF274&lt;&gt;"",AF274,IF(AG274="","",AG274)))</f>
        <v/>
      </c>
      <c r="AI274" s="52" t="str">
        <f aca="false">IF(OR(AH274="",AB274=""),"",IFERROR(AH274/(1+AB274),""))</f>
        <v/>
      </c>
      <c r="AJ274" s="50" t="str">
        <f aca="false">IF(OR(AI274="",AC274=""),"",IFERROR((AI274-AC274)/AI274,""))</f>
        <v/>
      </c>
      <c r="AK274" s="53" t="str">
        <f aca="false">IF(OR(AJ274="",AE274=""),"",AJ274-AE274)</f>
        <v/>
      </c>
      <c r="AL274" s="54" t="str">
        <f aca="false">IF(OR(AH274="",AF274=""),"",AH274-AF274)</f>
        <v/>
      </c>
      <c r="AM274" s="55" t="str">
        <f aca="false">IF(OR(A274="",K274&lt;&gt;"SI"),"",IF(AE274="","Sin objetivo",IF(AJ274="","Faltan datos",IF(AJ274&lt;0,"PÉRDIDA",IF(AK274&lt;-UMB_CRITICO,"MUY POR DEBAJO",IF(AK274&lt;-UMB_BAJO,"POR DEBAJO",IF(AK274&lt;-UMB_AJUSTADO,"AJUSTADO",IF(AK274&lt;=UMB_ALTO,"EN OBJETIVO","POR ENCIMA"))))))))</f>
        <v/>
      </c>
      <c r="AN274" s="44"/>
      <c r="AO274" s="44"/>
      <c r="AP274" s="46"/>
      <c r="AQ274" s="46"/>
      <c r="AR274" s="46"/>
      <c r="AS274" s="44"/>
      <c r="AT274" s="44"/>
      <c r="AU274" s="44"/>
      <c r="AV274" s="44"/>
      <c r="AW274" s="44"/>
      <c r="AX274" s="45"/>
      <c r="AY274" s="44"/>
      <c r="AZ274" s="56"/>
      <c r="BA274" s="45"/>
    </row>
    <row r="275" customFormat="false" ht="15" hidden="false" customHeight="false" outlineLevel="0" collapsed="false">
      <c r="A275" s="44"/>
      <c r="B275" s="44"/>
      <c r="C275" s="45"/>
      <c r="D275" s="45"/>
      <c r="E275" s="44"/>
      <c r="F275" s="44"/>
      <c r="G275" s="44"/>
      <c r="H275" s="44"/>
      <c r="I275" s="44"/>
      <c r="J275" s="44"/>
      <c r="K275" s="44"/>
      <c r="L275" s="44"/>
      <c r="M275" s="44"/>
      <c r="N275" s="44"/>
      <c r="O275" s="46"/>
      <c r="P275" s="44"/>
      <c r="Q275" s="46"/>
      <c r="R275" s="44"/>
      <c r="S275" s="45"/>
      <c r="T275" s="44"/>
      <c r="U275" s="44"/>
      <c r="V275" s="47"/>
      <c r="W275" s="48" t="str">
        <f aca="false">IF(V275="","",IFERROR(V275/O275,""))</f>
        <v/>
      </c>
      <c r="X275" s="44"/>
      <c r="Y275" s="46"/>
      <c r="Z275" s="49"/>
      <c r="AA275" s="44"/>
      <c r="AB275" s="50" t="str">
        <f aca="false">IFERROR(INDEX(TABLA_IVA!$C$3:$C$6,MATCH(AA275,TABLA_IVA!$A$3:$A$6,0)),"")</f>
        <v/>
      </c>
      <c r="AC275" s="47"/>
      <c r="AD275" s="44"/>
      <c r="AE275" s="51"/>
      <c r="AF275" s="52" t="str">
        <f aca="false">IF(OR(AC275="",AE275="",AB275=""),"",IFERROR(AC275/(1-AE275)*(1+AB275),""))</f>
        <v/>
      </c>
      <c r="AG275" s="47"/>
      <c r="AH275" s="52" t="str">
        <f aca="false">IF(AD275="FIJO",IF(AG275="","",AG275),IF(AF275&lt;&gt;"",AF275,IF(AG275="","",AG275)))</f>
        <v/>
      </c>
      <c r="AI275" s="52" t="str">
        <f aca="false">IF(OR(AH275="",AB275=""),"",IFERROR(AH275/(1+AB275),""))</f>
        <v/>
      </c>
      <c r="AJ275" s="50" t="str">
        <f aca="false">IF(OR(AI275="",AC275=""),"",IFERROR((AI275-AC275)/AI275,""))</f>
        <v/>
      </c>
      <c r="AK275" s="53" t="str">
        <f aca="false">IF(OR(AJ275="",AE275=""),"",AJ275-AE275)</f>
        <v/>
      </c>
      <c r="AL275" s="54" t="str">
        <f aca="false">IF(OR(AH275="",AF275=""),"",AH275-AF275)</f>
        <v/>
      </c>
      <c r="AM275" s="55" t="str">
        <f aca="false">IF(OR(A275="",K275&lt;&gt;"SI"),"",IF(AE275="","Sin objetivo",IF(AJ275="","Faltan datos",IF(AJ275&lt;0,"PÉRDIDA",IF(AK275&lt;-UMB_CRITICO,"MUY POR DEBAJO",IF(AK275&lt;-UMB_BAJO,"POR DEBAJO",IF(AK275&lt;-UMB_AJUSTADO,"AJUSTADO",IF(AK275&lt;=UMB_ALTO,"EN OBJETIVO","POR ENCIMA"))))))))</f>
        <v/>
      </c>
      <c r="AN275" s="44"/>
      <c r="AO275" s="44"/>
      <c r="AP275" s="46"/>
      <c r="AQ275" s="46"/>
      <c r="AR275" s="46"/>
      <c r="AS275" s="44"/>
      <c r="AT275" s="44"/>
      <c r="AU275" s="44"/>
      <c r="AV275" s="44"/>
      <c r="AW275" s="44"/>
      <c r="AX275" s="45"/>
      <c r="AY275" s="44"/>
      <c r="AZ275" s="56"/>
      <c r="BA275" s="45"/>
    </row>
    <row r="276" customFormat="false" ht="15" hidden="false" customHeight="false" outlineLevel="0" collapsed="false">
      <c r="A276" s="44"/>
      <c r="B276" s="44"/>
      <c r="C276" s="45"/>
      <c r="D276" s="45"/>
      <c r="E276" s="44"/>
      <c r="F276" s="44"/>
      <c r="G276" s="44"/>
      <c r="H276" s="44"/>
      <c r="I276" s="44"/>
      <c r="J276" s="44"/>
      <c r="K276" s="44"/>
      <c r="L276" s="44"/>
      <c r="M276" s="44"/>
      <c r="N276" s="44"/>
      <c r="O276" s="46"/>
      <c r="P276" s="44"/>
      <c r="Q276" s="46"/>
      <c r="R276" s="44"/>
      <c r="S276" s="45"/>
      <c r="T276" s="44"/>
      <c r="U276" s="44"/>
      <c r="V276" s="47"/>
      <c r="W276" s="48" t="str">
        <f aca="false">IF(V276="","",IFERROR(V276/O276,""))</f>
        <v/>
      </c>
      <c r="X276" s="44"/>
      <c r="Y276" s="46"/>
      <c r="Z276" s="49"/>
      <c r="AA276" s="44"/>
      <c r="AB276" s="50" t="str">
        <f aca="false">IFERROR(INDEX(TABLA_IVA!$C$3:$C$6,MATCH(AA276,TABLA_IVA!$A$3:$A$6,0)),"")</f>
        <v/>
      </c>
      <c r="AC276" s="47"/>
      <c r="AD276" s="44"/>
      <c r="AE276" s="51"/>
      <c r="AF276" s="52" t="str">
        <f aca="false">IF(OR(AC276="",AE276="",AB276=""),"",IFERROR(AC276/(1-AE276)*(1+AB276),""))</f>
        <v/>
      </c>
      <c r="AG276" s="47"/>
      <c r="AH276" s="52" t="str">
        <f aca="false">IF(AD276="FIJO",IF(AG276="","",AG276),IF(AF276&lt;&gt;"",AF276,IF(AG276="","",AG276)))</f>
        <v/>
      </c>
      <c r="AI276" s="52" t="str">
        <f aca="false">IF(OR(AH276="",AB276=""),"",IFERROR(AH276/(1+AB276),""))</f>
        <v/>
      </c>
      <c r="AJ276" s="50" t="str">
        <f aca="false">IF(OR(AI276="",AC276=""),"",IFERROR((AI276-AC276)/AI276,""))</f>
        <v/>
      </c>
      <c r="AK276" s="53" t="str">
        <f aca="false">IF(OR(AJ276="",AE276=""),"",AJ276-AE276)</f>
        <v/>
      </c>
      <c r="AL276" s="54" t="str">
        <f aca="false">IF(OR(AH276="",AF276=""),"",AH276-AF276)</f>
        <v/>
      </c>
      <c r="AM276" s="55" t="str">
        <f aca="false">IF(OR(A276="",K276&lt;&gt;"SI"),"",IF(AE276="","Sin objetivo",IF(AJ276="","Faltan datos",IF(AJ276&lt;0,"PÉRDIDA",IF(AK276&lt;-UMB_CRITICO,"MUY POR DEBAJO",IF(AK276&lt;-UMB_BAJO,"POR DEBAJO",IF(AK276&lt;-UMB_AJUSTADO,"AJUSTADO",IF(AK276&lt;=UMB_ALTO,"EN OBJETIVO","POR ENCIMA"))))))))</f>
        <v/>
      </c>
      <c r="AN276" s="44"/>
      <c r="AO276" s="44"/>
      <c r="AP276" s="46"/>
      <c r="AQ276" s="46"/>
      <c r="AR276" s="46"/>
      <c r="AS276" s="44"/>
      <c r="AT276" s="44"/>
      <c r="AU276" s="44"/>
      <c r="AV276" s="44"/>
      <c r="AW276" s="44"/>
      <c r="AX276" s="45"/>
      <c r="AY276" s="44"/>
      <c r="AZ276" s="56"/>
      <c r="BA276" s="45"/>
    </row>
    <row r="277" customFormat="false" ht="15" hidden="false" customHeight="false" outlineLevel="0" collapsed="false">
      <c r="A277" s="44"/>
      <c r="B277" s="44"/>
      <c r="C277" s="45"/>
      <c r="D277" s="45"/>
      <c r="E277" s="44"/>
      <c r="F277" s="44"/>
      <c r="G277" s="44"/>
      <c r="H277" s="44"/>
      <c r="I277" s="44"/>
      <c r="J277" s="44"/>
      <c r="K277" s="44"/>
      <c r="L277" s="44"/>
      <c r="M277" s="44"/>
      <c r="N277" s="44"/>
      <c r="O277" s="46"/>
      <c r="P277" s="44"/>
      <c r="Q277" s="46"/>
      <c r="R277" s="44"/>
      <c r="S277" s="45"/>
      <c r="T277" s="44"/>
      <c r="U277" s="44"/>
      <c r="V277" s="47"/>
      <c r="W277" s="48" t="str">
        <f aca="false">IF(V277="","",IFERROR(V277/O277,""))</f>
        <v/>
      </c>
      <c r="X277" s="44"/>
      <c r="Y277" s="46"/>
      <c r="Z277" s="49"/>
      <c r="AA277" s="44"/>
      <c r="AB277" s="50" t="str">
        <f aca="false">IFERROR(INDEX(TABLA_IVA!$C$3:$C$6,MATCH(AA277,TABLA_IVA!$A$3:$A$6,0)),"")</f>
        <v/>
      </c>
      <c r="AC277" s="47"/>
      <c r="AD277" s="44"/>
      <c r="AE277" s="51"/>
      <c r="AF277" s="52" t="str">
        <f aca="false">IF(OR(AC277="",AE277="",AB277=""),"",IFERROR(AC277/(1-AE277)*(1+AB277),""))</f>
        <v/>
      </c>
      <c r="AG277" s="47"/>
      <c r="AH277" s="52" t="str">
        <f aca="false">IF(AD277="FIJO",IF(AG277="","",AG277),IF(AF277&lt;&gt;"",AF277,IF(AG277="","",AG277)))</f>
        <v/>
      </c>
      <c r="AI277" s="52" t="str">
        <f aca="false">IF(OR(AH277="",AB277=""),"",IFERROR(AH277/(1+AB277),""))</f>
        <v/>
      </c>
      <c r="AJ277" s="50" t="str">
        <f aca="false">IF(OR(AI277="",AC277=""),"",IFERROR((AI277-AC277)/AI277,""))</f>
        <v/>
      </c>
      <c r="AK277" s="53" t="str">
        <f aca="false">IF(OR(AJ277="",AE277=""),"",AJ277-AE277)</f>
        <v/>
      </c>
      <c r="AL277" s="54" t="str">
        <f aca="false">IF(OR(AH277="",AF277=""),"",AH277-AF277)</f>
        <v/>
      </c>
      <c r="AM277" s="55" t="str">
        <f aca="false">IF(OR(A277="",K277&lt;&gt;"SI"),"",IF(AE277="","Sin objetivo",IF(AJ277="","Faltan datos",IF(AJ277&lt;0,"PÉRDIDA",IF(AK277&lt;-UMB_CRITICO,"MUY POR DEBAJO",IF(AK277&lt;-UMB_BAJO,"POR DEBAJO",IF(AK277&lt;-UMB_AJUSTADO,"AJUSTADO",IF(AK277&lt;=UMB_ALTO,"EN OBJETIVO","POR ENCIMA"))))))))</f>
        <v/>
      </c>
      <c r="AN277" s="44"/>
      <c r="AO277" s="44"/>
      <c r="AP277" s="46"/>
      <c r="AQ277" s="46"/>
      <c r="AR277" s="46"/>
      <c r="AS277" s="44"/>
      <c r="AT277" s="44"/>
      <c r="AU277" s="44"/>
      <c r="AV277" s="44"/>
      <c r="AW277" s="44"/>
      <c r="AX277" s="45"/>
      <c r="AY277" s="44"/>
      <c r="AZ277" s="56"/>
      <c r="BA277" s="45"/>
    </row>
    <row r="278" customFormat="false" ht="15" hidden="false" customHeight="false" outlineLevel="0" collapsed="false">
      <c r="A278" s="44"/>
      <c r="B278" s="44"/>
      <c r="C278" s="45"/>
      <c r="D278" s="45"/>
      <c r="E278" s="44"/>
      <c r="F278" s="44"/>
      <c r="G278" s="44"/>
      <c r="H278" s="44"/>
      <c r="I278" s="44"/>
      <c r="J278" s="44"/>
      <c r="K278" s="44"/>
      <c r="L278" s="44"/>
      <c r="M278" s="44"/>
      <c r="N278" s="44"/>
      <c r="O278" s="46"/>
      <c r="P278" s="44"/>
      <c r="Q278" s="46"/>
      <c r="R278" s="44"/>
      <c r="S278" s="45"/>
      <c r="T278" s="44"/>
      <c r="U278" s="44"/>
      <c r="V278" s="47"/>
      <c r="W278" s="48" t="str">
        <f aca="false">IF(V278="","",IFERROR(V278/O278,""))</f>
        <v/>
      </c>
      <c r="X278" s="44"/>
      <c r="Y278" s="46"/>
      <c r="Z278" s="49"/>
      <c r="AA278" s="44"/>
      <c r="AB278" s="50" t="str">
        <f aca="false">IFERROR(INDEX(TABLA_IVA!$C$3:$C$6,MATCH(AA278,TABLA_IVA!$A$3:$A$6,0)),"")</f>
        <v/>
      </c>
      <c r="AC278" s="47"/>
      <c r="AD278" s="44"/>
      <c r="AE278" s="51"/>
      <c r="AF278" s="52" t="str">
        <f aca="false">IF(OR(AC278="",AE278="",AB278=""),"",IFERROR(AC278/(1-AE278)*(1+AB278),""))</f>
        <v/>
      </c>
      <c r="AG278" s="47"/>
      <c r="AH278" s="52" t="str">
        <f aca="false">IF(AD278="FIJO",IF(AG278="","",AG278),IF(AF278&lt;&gt;"",AF278,IF(AG278="","",AG278)))</f>
        <v/>
      </c>
      <c r="AI278" s="52" t="str">
        <f aca="false">IF(OR(AH278="",AB278=""),"",IFERROR(AH278/(1+AB278),""))</f>
        <v/>
      </c>
      <c r="AJ278" s="50" t="str">
        <f aca="false">IF(OR(AI278="",AC278=""),"",IFERROR((AI278-AC278)/AI278,""))</f>
        <v/>
      </c>
      <c r="AK278" s="53" t="str">
        <f aca="false">IF(OR(AJ278="",AE278=""),"",AJ278-AE278)</f>
        <v/>
      </c>
      <c r="AL278" s="54" t="str">
        <f aca="false">IF(OR(AH278="",AF278=""),"",AH278-AF278)</f>
        <v/>
      </c>
      <c r="AM278" s="55" t="str">
        <f aca="false">IF(OR(A278="",K278&lt;&gt;"SI"),"",IF(AE278="","Sin objetivo",IF(AJ278="","Faltan datos",IF(AJ278&lt;0,"PÉRDIDA",IF(AK278&lt;-UMB_CRITICO,"MUY POR DEBAJO",IF(AK278&lt;-UMB_BAJO,"POR DEBAJO",IF(AK278&lt;-UMB_AJUSTADO,"AJUSTADO",IF(AK278&lt;=UMB_ALTO,"EN OBJETIVO","POR ENCIMA"))))))))</f>
        <v/>
      </c>
      <c r="AN278" s="44"/>
      <c r="AO278" s="44"/>
      <c r="AP278" s="46"/>
      <c r="AQ278" s="46"/>
      <c r="AR278" s="46"/>
      <c r="AS278" s="44"/>
      <c r="AT278" s="44"/>
      <c r="AU278" s="44"/>
      <c r="AV278" s="44"/>
      <c r="AW278" s="44"/>
      <c r="AX278" s="45"/>
      <c r="AY278" s="44"/>
      <c r="AZ278" s="56"/>
      <c r="BA278" s="45"/>
    </row>
    <row r="279" customFormat="false" ht="15" hidden="false" customHeight="false" outlineLevel="0" collapsed="false">
      <c r="A279" s="44"/>
      <c r="B279" s="44"/>
      <c r="C279" s="45"/>
      <c r="D279" s="45"/>
      <c r="E279" s="44"/>
      <c r="F279" s="44"/>
      <c r="G279" s="44"/>
      <c r="H279" s="44"/>
      <c r="I279" s="44"/>
      <c r="J279" s="44"/>
      <c r="K279" s="44"/>
      <c r="L279" s="44"/>
      <c r="M279" s="44"/>
      <c r="N279" s="44"/>
      <c r="O279" s="46"/>
      <c r="P279" s="44"/>
      <c r="Q279" s="46"/>
      <c r="R279" s="44"/>
      <c r="S279" s="45"/>
      <c r="T279" s="44"/>
      <c r="U279" s="44"/>
      <c r="V279" s="47"/>
      <c r="W279" s="48" t="str">
        <f aca="false">IF(V279="","",IFERROR(V279/O279,""))</f>
        <v/>
      </c>
      <c r="X279" s="44"/>
      <c r="Y279" s="46"/>
      <c r="Z279" s="49"/>
      <c r="AA279" s="44"/>
      <c r="AB279" s="50" t="str">
        <f aca="false">IFERROR(INDEX(TABLA_IVA!$C$3:$C$6,MATCH(AA279,TABLA_IVA!$A$3:$A$6,0)),"")</f>
        <v/>
      </c>
      <c r="AC279" s="47"/>
      <c r="AD279" s="44"/>
      <c r="AE279" s="51"/>
      <c r="AF279" s="52" t="str">
        <f aca="false">IF(OR(AC279="",AE279="",AB279=""),"",IFERROR(AC279/(1-AE279)*(1+AB279),""))</f>
        <v/>
      </c>
      <c r="AG279" s="47"/>
      <c r="AH279" s="52" t="str">
        <f aca="false">IF(AD279="FIJO",IF(AG279="","",AG279),IF(AF279&lt;&gt;"",AF279,IF(AG279="","",AG279)))</f>
        <v/>
      </c>
      <c r="AI279" s="52" t="str">
        <f aca="false">IF(OR(AH279="",AB279=""),"",IFERROR(AH279/(1+AB279),""))</f>
        <v/>
      </c>
      <c r="AJ279" s="50" t="str">
        <f aca="false">IF(OR(AI279="",AC279=""),"",IFERROR((AI279-AC279)/AI279,""))</f>
        <v/>
      </c>
      <c r="AK279" s="53" t="str">
        <f aca="false">IF(OR(AJ279="",AE279=""),"",AJ279-AE279)</f>
        <v/>
      </c>
      <c r="AL279" s="54" t="str">
        <f aca="false">IF(OR(AH279="",AF279=""),"",AH279-AF279)</f>
        <v/>
      </c>
      <c r="AM279" s="55" t="str">
        <f aca="false">IF(OR(A279="",K279&lt;&gt;"SI"),"",IF(AE279="","Sin objetivo",IF(AJ279="","Faltan datos",IF(AJ279&lt;0,"PÉRDIDA",IF(AK279&lt;-UMB_CRITICO,"MUY POR DEBAJO",IF(AK279&lt;-UMB_BAJO,"POR DEBAJO",IF(AK279&lt;-UMB_AJUSTADO,"AJUSTADO",IF(AK279&lt;=UMB_ALTO,"EN OBJETIVO","POR ENCIMA"))))))))</f>
        <v/>
      </c>
      <c r="AN279" s="44"/>
      <c r="AO279" s="44"/>
      <c r="AP279" s="46"/>
      <c r="AQ279" s="46"/>
      <c r="AR279" s="46"/>
      <c r="AS279" s="44"/>
      <c r="AT279" s="44"/>
      <c r="AU279" s="44"/>
      <c r="AV279" s="44"/>
      <c r="AW279" s="44"/>
      <c r="AX279" s="45"/>
      <c r="AY279" s="44"/>
      <c r="AZ279" s="56"/>
      <c r="BA279" s="45"/>
    </row>
    <row r="280" customFormat="false" ht="15" hidden="false" customHeight="false" outlineLevel="0" collapsed="false">
      <c r="A280" s="44"/>
      <c r="B280" s="44"/>
      <c r="C280" s="45"/>
      <c r="D280" s="45"/>
      <c r="E280" s="44"/>
      <c r="F280" s="44"/>
      <c r="G280" s="44"/>
      <c r="H280" s="44"/>
      <c r="I280" s="44"/>
      <c r="J280" s="44"/>
      <c r="K280" s="44"/>
      <c r="L280" s="44"/>
      <c r="M280" s="44"/>
      <c r="N280" s="44"/>
      <c r="O280" s="46"/>
      <c r="P280" s="44"/>
      <c r="Q280" s="46"/>
      <c r="R280" s="44"/>
      <c r="S280" s="45"/>
      <c r="T280" s="44"/>
      <c r="U280" s="44"/>
      <c r="V280" s="47"/>
      <c r="W280" s="48" t="str">
        <f aca="false">IF(V280="","",IFERROR(V280/O280,""))</f>
        <v/>
      </c>
      <c r="X280" s="44"/>
      <c r="Y280" s="46"/>
      <c r="Z280" s="49"/>
      <c r="AA280" s="44"/>
      <c r="AB280" s="50" t="str">
        <f aca="false">IFERROR(INDEX(TABLA_IVA!$C$3:$C$6,MATCH(AA280,TABLA_IVA!$A$3:$A$6,0)),"")</f>
        <v/>
      </c>
      <c r="AC280" s="47"/>
      <c r="AD280" s="44"/>
      <c r="AE280" s="51"/>
      <c r="AF280" s="52" t="str">
        <f aca="false">IF(OR(AC280="",AE280="",AB280=""),"",IFERROR(AC280/(1-AE280)*(1+AB280),""))</f>
        <v/>
      </c>
      <c r="AG280" s="47"/>
      <c r="AH280" s="52" t="str">
        <f aca="false">IF(AD280="FIJO",IF(AG280="","",AG280),IF(AF280&lt;&gt;"",AF280,IF(AG280="","",AG280)))</f>
        <v/>
      </c>
      <c r="AI280" s="52" t="str">
        <f aca="false">IF(OR(AH280="",AB280=""),"",IFERROR(AH280/(1+AB280),""))</f>
        <v/>
      </c>
      <c r="AJ280" s="50" t="str">
        <f aca="false">IF(OR(AI280="",AC280=""),"",IFERROR((AI280-AC280)/AI280,""))</f>
        <v/>
      </c>
      <c r="AK280" s="53" t="str">
        <f aca="false">IF(OR(AJ280="",AE280=""),"",AJ280-AE280)</f>
        <v/>
      </c>
      <c r="AL280" s="54" t="str">
        <f aca="false">IF(OR(AH280="",AF280=""),"",AH280-AF280)</f>
        <v/>
      </c>
      <c r="AM280" s="55" t="str">
        <f aca="false">IF(OR(A280="",K280&lt;&gt;"SI"),"",IF(AE280="","Sin objetivo",IF(AJ280="","Faltan datos",IF(AJ280&lt;0,"PÉRDIDA",IF(AK280&lt;-UMB_CRITICO,"MUY POR DEBAJO",IF(AK280&lt;-UMB_BAJO,"POR DEBAJO",IF(AK280&lt;-UMB_AJUSTADO,"AJUSTADO",IF(AK280&lt;=UMB_ALTO,"EN OBJETIVO","POR ENCIMA"))))))))</f>
        <v/>
      </c>
      <c r="AN280" s="44"/>
      <c r="AO280" s="44"/>
      <c r="AP280" s="46"/>
      <c r="AQ280" s="46"/>
      <c r="AR280" s="46"/>
      <c r="AS280" s="44"/>
      <c r="AT280" s="44"/>
      <c r="AU280" s="44"/>
      <c r="AV280" s="44"/>
      <c r="AW280" s="44"/>
      <c r="AX280" s="45"/>
      <c r="AY280" s="44"/>
      <c r="AZ280" s="56"/>
      <c r="BA280" s="45"/>
    </row>
    <row r="281" customFormat="false" ht="15" hidden="false" customHeight="false" outlineLevel="0" collapsed="false">
      <c r="A281" s="44"/>
      <c r="B281" s="44"/>
      <c r="C281" s="45"/>
      <c r="D281" s="45"/>
      <c r="E281" s="44"/>
      <c r="F281" s="44"/>
      <c r="G281" s="44"/>
      <c r="H281" s="44"/>
      <c r="I281" s="44"/>
      <c r="J281" s="44"/>
      <c r="K281" s="44"/>
      <c r="L281" s="44"/>
      <c r="M281" s="44"/>
      <c r="N281" s="44"/>
      <c r="O281" s="46"/>
      <c r="P281" s="44"/>
      <c r="Q281" s="46"/>
      <c r="R281" s="44"/>
      <c r="S281" s="45"/>
      <c r="T281" s="44"/>
      <c r="U281" s="44"/>
      <c r="V281" s="47"/>
      <c r="W281" s="48" t="str">
        <f aca="false">IF(V281="","",IFERROR(V281/O281,""))</f>
        <v/>
      </c>
      <c r="X281" s="44"/>
      <c r="Y281" s="46"/>
      <c r="Z281" s="49"/>
      <c r="AA281" s="44"/>
      <c r="AB281" s="50" t="str">
        <f aca="false">IFERROR(INDEX(TABLA_IVA!$C$3:$C$6,MATCH(AA281,TABLA_IVA!$A$3:$A$6,0)),"")</f>
        <v/>
      </c>
      <c r="AC281" s="47"/>
      <c r="AD281" s="44"/>
      <c r="AE281" s="51"/>
      <c r="AF281" s="52" t="str">
        <f aca="false">IF(OR(AC281="",AE281="",AB281=""),"",IFERROR(AC281/(1-AE281)*(1+AB281),""))</f>
        <v/>
      </c>
      <c r="AG281" s="47"/>
      <c r="AH281" s="52" t="str">
        <f aca="false">IF(AD281="FIJO",IF(AG281="","",AG281),IF(AF281&lt;&gt;"",AF281,IF(AG281="","",AG281)))</f>
        <v/>
      </c>
      <c r="AI281" s="52" t="str">
        <f aca="false">IF(OR(AH281="",AB281=""),"",IFERROR(AH281/(1+AB281),""))</f>
        <v/>
      </c>
      <c r="AJ281" s="50" t="str">
        <f aca="false">IF(OR(AI281="",AC281=""),"",IFERROR((AI281-AC281)/AI281,""))</f>
        <v/>
      </c>
      <c r="AK281" s="53" t="str">
        <f aca="false">IF(OR(AJ281="",AE281=""),"",AJ281-AE281)</f>
        <v/>
      </c>
      <c r="AL281" s="54" t="str">
        <f aca="false">IF(OR(AH281="",AF281=""),"",AH281-AF281)</f>
        <v/>
      </c>
      <c r="AM281" s="55" t="str">
        <f aca="false">IF(OR(A281="",K281&lt;&gt;"SI"),"",IF(AE281="","Sin objetivo",IF(AJ281="","Faltan datos",IF(AJ281&lt;0,"PÉRDIDA",IF(AK281&lt;-UMB_CRITICO,"MUY POR DEBAJO",IF(AK281&lt;-UMB_BAJO,"POR DEBAJO",IF(AK281&lt;-UMB_AJUSTADO,"AJUSTADO",IF(AK281&lt;=UMB_ALTO,"EN OBJETIVO","POR ENCIMA"))))))))</f>
        <v/>
      </c>
      <c r="AN281" s="44"/>
      <c r="AO281" s="44"/>
      <c r="AP281" s="46"/>
      <c r="AQ281" s="46"/>
      <c r="AR281" s="46"/>
      <c r="AS281" s="44"/>
      <c r="AT281" s="44"/>
      <c r="AU281" s="44"/>
      <c r="AV281" s="44"/>
      <c r="AW281" s="44"/>
      <c r="AX281" s="45"/>
      <c r="AY281" s="44"/>
      <c r="AZ281" s="56"/>
      <c r="BA281" s="45"/>
    </row>
    <row r="282" customFormat="false" ht="15" hidden="false" customHeight="false" outlineLevel="0" collapsed="false">
      <c r="A282" s="44"/>
      <c r="B282" s="44"/>
      <c r="C282" s="45"/>
      <c r="D282" s="45"/>
      <c r="E282" s="44"/>
      <c r="F282" s="44"/>
      <c r="G282" s="44"/>
      <c r="H282" s="44"/>
      <c r="I282" s="44"/>
      <c r="J282" s="44"/>
      <c r="K282" s="44"/>
      <c r="L282" s="44"/>
      <c r="M282" s="44"/>
      <c r="N282" s="44"/>
      <c r="O282" s="46"/>
      <c r="P282" s="44"/>
      <c r="Q282" s="46"/>
      <c r="R282" s="44"/>
      <c r="S282" s="45"/>
      <c r="T282" s="44"/>
      <c r="U282" s="44"/>
      <c r="V282" s="47"/>
      <c r="W282" s="48" t="str">
        <f aca="false">IF(V282="","",IFERROR(V282/O282,""))</f>
        <v/>
      </c>
      <c r="X282" s="44"/>
      <c r="Y282" s="46"/>
      <c r="Z282" s="49"/>
      <c r="AA282" s="44"/>
      <c r="AB282" s="50" t="str">
        <f aca="false">IFERROR(INDEX(TABLA_IVA!$C$3:$C$6,MATCH(AA282,TABLA_IVA!$A$3:$A$6,0)),"")</f>
        <v/>
      </c>
      <c r="AC282" s="47"/>
      <c r="AD282" s="44"/>
      <c r="AE282" s="51"/>
      <c r="AF282" s="52" t="str">
        <f aca="false">IF(OR(AC282="",AE282="",AB282=""),"",IFERROR(AC282/(1-AE282)*(1+AB282),""))</f>
        <v/>
      </c>
      <c r="AG282" s="47"/>
      <c r="AH282" s="52" t="str">
        <f aca="false">IF(AD282="FIJO",IF(AG282="","",AG282),IF(AF282&lt;&gt;"",AF282,IF(AG282="","",AG282)))</f>
        <v/>
      </c>
      <c r="AI282" s="52" t="str">
        <f aca="false">IF(OR(AH282="",AB282=""),"",IFERROR(AH282/(1+AB282),""))</f>
        <v/>
      </c>
      <c r="AJ282" s="50" t="str">
        <f aca="false">IF(OR(AI282="",AC282=""),"",IFERROR((AI282-AC282)/AI282,""))</f>
        <v/>
      </c>
      <c r="AK282" s="53" t="str">
        <f aca="false">IF(OR(AJ282="",AE282=""),"",AJ282-AE282)</f>
        <v/>
      </c>
      <c r="AL282" s="54" t="str">
        <f aca="false">IF(OR(AH282="",AF282=""),"",AH282-AF282)</f>
        <v/>
      </c>
      <c r="AM282" s="55" t="str">
        <f aca="false">IF(OR(A282="",K282&lt;&gt;"SI"),"",IF(AE282="","Sin objetivo",IF(AJ282="","Faltan datos",IF(AJ282&lt;0,"PÉRDIDA",IF(AK282&lt;-UMB_CRITICO,"MUY POR DEBAJO",IF(AK282&lt;-UMB_BAJO,"POR DEBAJO",IF(AK282&lt;-UMB_AJUSTADO,"AJUSTADO",IF(AK282&lt;=UMB_ALTO,"EN OBJETIVO","POR ENCIMA"))))))))</f>
        <v/>
      </c>
      <c r="AN282" s="44"/>
      <c r="AO282" s="44"/>
      <c r="AP282" s="46"/>
      <c r="AQ282" s="46"/>
      <c r="AR282" s="46"/>
      <c r="AS282" s="44"/>
      <c r="AT282" s="44"/>
      <c r="AU282" s="44"/>
      <c r="AV282" s="44"/>
      <c r="AW282" s="44"/>
      <c r="AX282" s="45"/>
      <c r="AY282" s="44"/>
      <c r="AZ282" s="56"/>
      <c r="BA282" s="45"/>
    </row>
    <row r="283" customFormat="false" ht="15" hidden="false" customHeight="false" outlineLevel="0" collapsed="false">
      <c r="A283" s="44"/>
      <c r="B283" s="44"/>
      <c r="C283" s="45"/>
      <c r="D283" s="45"/>
      <c r="E283" s="44"/>
      <c r="F283" s="44"/>
      <c r="G283" s="44"/>
      <c r="H283" s="44"/>
      <c r="I283" s="44"/>
      <c r="J283" s="44"/>
      <c r="K283" s="44"/>
      <c r="L283" s="44"/>
      <c r="M283" s="44"/>
      <c r="N283" s="44"/>
      <c r="O283" s="46"/>
      <c r="P283" s="44"/>
      <c r="Q283" s="46"/>
      <c r="R283" s="44"/>
      <c r="S283" s="45"/>
      <c r="T283" s="44"/>
      <c r="U283" s="44"/>
      <c r="V283" s="47"/>
      <c r="W283" s="48" t="str">
        <f aca="false">IF(V283="","",IFERROR(V283/O283,""))</f>
        <v/>
      </c>
      <c r="X283" s="44"/>
      <c r="Y283" s="46"/>
      <c r="Z283" s="49"/>
      <c r="AA283" s="44"/>
      <c r="AB283" s="50" t="str">
        <f aca="false">IFERROR(INDEX(TABLA_IVA!$C$3:$C$6,MATCH(AA283,TABLA_IVA!$A$3:$A$6,0)),"")</f>
        <v/>
      </c>
      <c r="AC283" s="47"/>
      <c r="AD283" s="44"/>
      <c r="AE283" s="51"/>
      <c r="AF283" s="52" t="str">
        <f aca="false">IF(OR(AC283="",AE283="",AB283=""),"",IFERROR(AC283/(1-AE283)*(1+AB283),""))</f>
        <v/>
      </c>
      <c r="AG283" s="47"/>
      <c r="AH283" s="52" t="str">
        <f aca="false">IF(AD283="FIJO",IF(AG283="","",AG283),IF(AF283&lt;&gt;"",AF283,IF(AG283="","",AG283)))</f>
        <v/>
      </c>
      <c r="AI283" s="52" t="str">
        <f aca="false">IF(OR(AH283="",AB283=""),"",IFERROR(AH283/(1+AB283),""))</f>
        <v/>
      </c>
      <c r="AJ283" s="50" t="str">
        <f aca="false">IF(OR(AI283="",AC283=""),"",IFERROR((AI283-AC283)/AI283,""))</f>
        <v/>
      </c>
      <c r="AK283" s="53" t="str">
        <f aca="false">IF(OR(AJ283="",AE283=""),"",AJ283-AE283)</f>
        <v/>
      </c>
      <c r="AL283" s="54" t="str">
        <f aca="false">IF(OR(AH283="",AF283=""),"",AH283-AF283)</f>
        <v/>
      </c>
      <c r="AM283" s="55" t="str">
        <f aca="false">IF(OR(A283="",K283&lt;&gt;"SI"),"",IF(AE283="","Sin objetivo",IF(AJ283="","Faltan datos",IF(AJ283&lt;0,"PÉRDIDA",IF(AK283&lt;-UMB_CRITICO,"MUY POR DEBAJO",IF(AK283&lt;-UMB_BAJO,"POR DEBAJO",IF(AK283&lt;-UMB_AJUSTADO,"AJUSTADO",IF(AK283&lt;=UMB_ALTO,"EN OBJETIVO","POR ENCIMA"))))))))</f>
        <v/>
      </c>
      <c r="AN283" s="44"/>
      <c r="AO283" s="44"/>
      <c r="AP283" s="46"/>
      <c r="AQ283" s="46"/>
      <c r="AR283" s="46"/>
      <c r="AS283" s="44"/>
      <c r="AT283" s="44"/>
      <c r="AU283" s="44"/>
      <c r="AV283" s="44"/>
      <c r="AW283" s="44"/>
      <c r="AX283" s="45"/>
      <c r="AY283" s="44"/>
      <c r="AZ283" s="56"/>
      <c r="BA283" s="45"/>
    </row>
    <row r="284" customFormat="false" ht="15" hidden="false" customHeight="false" outlineLevel="0" collapsed="false">
      <c r="A284" s="44"/>
      <c r="B284" s="44"/>
      <c r="C284" s="45"/>
      <c r="D284" s="45"/>
      <c r="E284" s="44"/>
      <c r="F284" s="44"/>
      <c r="G284" s="44"/>
      <c r="H284" s="44"/>
      <c r="I284" s="44"/>
      <c r="J284" s="44"/>
      <c r="K284" s="44"/>
      <c r="L284" s="44"/>
      <c r="M284" s="44"/>
      <c r="N284" s="44"/>
      <c r="O284" s="46"/>
      <c r="P284" s="44"/>
      <c r="Q284" s="46"/>
      <c r="R284" s="44"/>
      <c r="S284" s="45"/>
      <c r="T284" s="44"/>
      <c r="U284" s="44"/>
      <c r="V284" s="47"/>
      <c r="W284" s="48" t="str">
        <f aca="false">IF(V284="","",IFERROR(V284/O284,""))</f>
        <v/>
      </c>
      <c r="X284" s="44"/>
      <c r="Y284" s="46"/>
      <c r="Z284" s="49"/>
      <c r="AA284" s="44"/>
      <c r="AB284" s="50" t="str">
        <f aca="false">IFERROR(INDEX(TABLA_IVA!$C$3:$C$6,MATCH(AA284,TABLA_IVA!$A$3:$A$6,0)),"")</f>
        <v/>
      </c>
      <c r="AC284" s="47"/>
      <c r="AD284" s="44"/>
      <c r="AE284" s="51"/>
      <c r="AF284" s="52" t="str">
        <f aca="false">IF(OR(AC284="",AE284="",AB284=""),"",IFERROR(AC284/(1-AE284)*(1+AB284),""))</f>
        <v/>
      </c>
      <c r="AG284" s="47"/>
      <c r="AH284" s="52" t="str">
        <f aca="false">IF(AD284="FIJO",IF(AG284="","",AG284),IF(AF284&lt;&gt;"",AF284,IF(AG284="","",AG284)))</f>
        <v/>
      </c>
      <c r="AI284" s="52" t="str">
        <f aca="false">IF(OR(AH284="",AB284=""),"",IFERROR(AH284/(1+AB284),""))</f>
        <v/>
      </c>
      <c r="AJ284" s="50" t="str">
        <f aca="false">IF(OR(AI284="",AC284=""),"",IFERROR((AI284-AC284)/AI284,""))</f>
        <v/>
      </c>
      <c r="AK284" s="53" t="str">
        <f aca="false">IF(OR(AJ284="",AE284=""),"",AJ284-AE284)</f>
        <v/>
      </c>
      <c r="AL284" s="54" t="str">
        <f aca="false">IF(OR(AH284="",AF284=""),"",AH284-AF284)</f>
        <v/>
      </c>
      <c r="AM284" s="55" t="str">
        <f aca="false">IF(OR(A284="",K284&lt;&gt;"SI"),"",IF(AE284="","Sin objetivo",IF(AJ284="","Faltan datos",IF(AJ284&lt;0,"PÉRDIDA",IF(AK284&lt;-UMB_CRITICO,"MUY POR DEBAJO",IF(AK284&lt;-UMB_BAJO,"POR DEBAJO",IF(AK284&lt;-UMB_AJUSTADO,"AJUSTADO",IF(AK284&lt;=UMB_ALTO,"EN OBJETIVO","POR ENCIMA"))))))))</f>
        <v/>
      </c>
      <c r="AN284" s="44"/>
      <c r="AO284" s="44"/>
      <c r="AP284" s="46"/>
      <c r="AQ284" s="46"/>
      <c r="AR284" s="46"/>
      <c r="AS284" s="44"/>
      <c r="AT284" s="44"/>
      <c r="AU284" s="44"/>
      <c r="AV284" s="44"/>
      <c r="AW284" s="44"/>
      <c r="AX284" s="45"/>
      <c r="AY284" s="44"/>
      <c r="AZ284" s="56"/>
      <c r="BA284" s="45"/>
    </row>
    <row r="285" customFormat="false" ht="15" hidden="false" customHeight="false" outlineLevel="0" collapsed="false">
      <c r="A285" s="44"/>
      <c r="B285" s="44"/>
      <c r="C285" s="45"/>
      <c r="D285" s="45"/>
      <c r="E285" s="44"/>
      <c r="F285" s="44"/>
      <c r="G285" s="44"/>
      <c r="H285" s="44"/>
      <c r="I285" s="44"/>
      <c r="J285" s="44"/>
      <c r="K285" s="44"/>
      <c r="L285" s="44"/>
      <c r="M285" s="44"/>
      <c r="N285" s="44"/>
      <c r="O285" s="46"/>
      <c r="P285" s="44"/>
      <c r="Q285" s="46"/>
      <c r="R285" s="44"/>
      <c r="S285" s="45"/>
      <c r="T285" s="44"/>
      <c r="U285" s="44"/>
      <c r="V285" s="47"/>
      <c r="W285" s="48" t="str">
        <f aca="false">IF(V285="","",IFERROR(V285/O285,""))</f>
        <v/>
      </c>
      <c r="X285" s="44"/>
      <c r="Y285" s="46"/>
      <c r="Z285" s="49"/>
      <c r="AA285" s="44"/>
      <c r="AB285" s="50" t="str">
        <f aca="false">IFERROR(INDEX(TABLA_IVA!$C$3:$C$6,MATCH(AA285,TABLA_IVA!$A$3:$A$6,0)),"")</f>
        <v/>
      </c>
      <c r="AC285" s="47"/>
      <c r="AD285" s="44"/>
      <c r="AE285" s="51"/>
      <c r="AF285" s="52" t="str">
        <f aca="false">IF(OR(AC285="",AE285="",AB285=""),"",IFERROR(AC285/(1-AE285)*(1+AB285),""))</f>
        <v/>
      </c>
      <c r="AG285" s="47"/>
      <c r="AH285" s="52" t="str">
        <f aca="false">IF(AD285="FIJO",IF(AG285="","",AG285),IF(AF285&lt;&gt;"",AF285,IF(AG285="","",AG285)))</f>
        <v/>
      </c>
      <c r="AI285" s="52" t="str">
        <f aca="false">IF(OR(AH285="",AB285=""),"",IFERROR(AH285/(1+AB285),""))</f>
        <v/>
      </c>
      <c r="AJ285" s="50" t="str">
        <f aca="false">IF(OR(AI285="",AC285=""),"",IFERROR((AI285-AC285)/AI285,""))</f>
        <v/>
      </c>
      <c r="AK285" s="53" t="str">
        <f aca="false">IF(OR(AJ285="",AE285=""),"",AJ285-AE285)</f>
        <v/>
      </c>
      <c r="AL285" s="54" t="str">
        <f aca="false">IF(OR(AH285="",AF285=""),"",AH285-AF285)</f>
        <v/>
      </c>
      <c r="AM285" s="55" t="str">
        <f aca="false">IF(OR(A285="",K285&lt;&gt;"SI"),"",IF(AE285="","Sin objetivo",IF(AJ285="","Faltan datos",IF(AJ285&lt;0,"PÉRDIDA",IF(AK285&lt;-UMB_CRITICO,"MUY POR DEBAJO",IF(AK285&lt;-UMB_BAJO,"POR DEBAJO",IF(AK285&lt;-UMB_AJUSTADO,"AJUSTADO",IF(AK285&lt;=UMB_ALTO,"EN OBJETIVO","POR ENCIMA"))))))))</f>
        <v/>
      </c>
      <c r="AN285" s="44"/>
      <c r="AO285" s="44"/>
      <c r="AP285" s="46"/>
      <c r="AQ285" s="46"/>
      <c r="AR285" s="46"/>
      <c r="AS285" s="44"/>
      <c r="AT285" s="44"/>
      <c r="AU285" s="44"/>
      <c r="AV285" s="44"/>
      <c r="AW285" s="44"/>
      <c r="AX285" s="45"/>
      <c r="AY285" s="44"/>
      <c r="AZ285" s="56"/>
      <c r="BA285" s="45"/>
    </row>
    <row r="286" customFormat="false" ht="15" hidden="false" customHeight="false" outlineLevel="0" collapsed="false">
      <c r="A286" s="44"/>
      <c r="B286" s="44"/>
      <c r="C286" s="45"/>
      <c r="D286" s="45"/>
      <c r="E286" s="44"/>
      <c r="F286" s="44"/>
      <c r="G286" s="44"/>
      <c r="H286" s="44"/>
      <c r="I286" s="44"/>
      <c r="J286" s="44"/>
      <c r="K286" s="44"/>
      <c r="L286" s="44"/>
      <c r="M286" s="44"/>
      <c r="N286" s="44"/>
      <c r="O286" s="46"/>
      <c r="P286" s="44"/>
      <c r="Q286" s="46"/>
      <c r="R286" s="44"/>
      <c r="S286" s="45"/>
      <c r="T286" s="44"/>
      <c r="U286" s="44"/>
      <c r="V286" s="47"/>
      <c r="W286" s="48" t="str">
        <f aca="false">IF(V286="","",IFERROR(V286/O286,""))</f>
        <v/>
      </c>
      <c r="X286" s="44"/>
      <c r="Y286" s="46"/>
      <c r="Z286" s="49"/>
      <c r="AA286" s="44"/>
      <c r="AB286" s="50" t="str">
        <f aca="false">IFERROR(INDEX(TABLA_IVA!$C$3:$C$6,MATCH(AA286,TABLA_IVA!$A$3:$A$6,0)),"")</f>
        <v/>
      </c>
      <c r="AC286" s="47"/>
      <c r="AD286" s="44"/>
      <c r="AE286" s="51"/>
      <c r="AF286" s="52" t="str">
        <f aca="false">IF(OR(AC286="",AE286="",AB286=""),"",IFERROR(AC286/(1-AE286)*(1+AB286),""))</f>
        <v/>
      </c>
      <c r="AG286" s="47"/>
      <c r="AH286" s="52" t="str">
        <f aca="false">IF(AD286="FIJO",IF(AG286="","",AG286),IF(AF286&lt;&gt;"",AF286,IF(AG286="","",AG286)))</f>
        <v/>
      </c>
      <c r="AI286" s="52" t="str">
        <f aca="false">IF(OR(AH286="",AB286=""),"",IFERROR(AH286/(1+AB286),""))</f>
        <v/>
      </c>
      <c r="AJ286" s="50" t="str">
        <f aca="false">IF(OR(AI286="",AC286=""),"",IFERROR((AI286-AC286)/AI286,""))</f>
        <v/>
      </c>
      <c r="AK286" s="53" t="str">
        <f aca="false">IF(OR(AJ286="",AE286=""),"",AJ286-AE286)</f>
        <v/>
      </c>
      <c r="AL286" s="54" t="str">
        <f aca="false">IF(OR(AH286="",AF286=""),"",AH286-AF286)</f>
        <v/>
      </c>
      <c r="AM286" s="55" t="str">
        <f aca="false">IF(OR(A286="",K286&lt;&gt;"SI"),"",IF(AE286="","Sin objetivo",IF(AJ286="","Faltan datos",IF(AJ286&lt;0,"PÉRDIDA",IF(AK286&lt;-UMB_CRITICO,"MUY POR DEBAJO",IF(AK286&lt;-UMB_BAJO,"POR DEBAJO",IF(AK286&lt;-UMB_AJUSTADO,"AJUSTADO",IF(AK286&lt;=UMB_ALTO,"EN OBJETIVO","POR ENCIMA"))))))))</f>
        <v/>
      </c>
      <c r="AN286" s="44"/>
      <c r="AO286" s="44"/>
      <c r="AP286" s="46"/>
      <c r="AQ286" s="46"/>
      <c r="AR286" s="46"/>
      <c r="AS286" s="44"/>
      <c r="AT286" s="44"/>
      <c r="AU286" s="44"/>
      <c r="AV286" s="44"/>
      <c r="AW286" s="44"/>
      <c r="AX286" s="45"/>
      <c r="AY286" s="44"/>
      <c r="AZ286" s="56"/>
      <c r="BA286" s="45"/>
    </row>
    <row r="287" customFormat="false" ht="15" hidden="false" customHeight="false" outlineLevel="0" collapsed="false">
      <c r="A287" s="44"/>
      <c r="B287" s="44"/>
      <c r="C287" s="45"/>
      <c r="D287" s="45"/>
      <c r="E287" s="44"/>
      <c r="F287" s="44"/>
      <c r="G287" s="44"/>
      <c r="H287" s="44"/>
      <c r="I287" s="44"/>
      <c r="J287" s="44"/>
      <c r="K287" s="44"/>
      <c r="L287" s="44"/>
      <c r="M287" s="44"/>
      <c r="N287" s="44"/>
      <c r="O287" s="46"/>
      <c r="P287" s="44"/>
      <c r="Q287" s="46"/>
      <c r="R287" s="44"/>
      <c r="S287" s="45"/>
      <c r="T287" s="44"/>
      <c r="U287" s="44"/>
      <c r="V287" s="47"/>
      <c r="W287" s="48" t="str">
        <f aca="false">IF(V287="","",IFERROR(V287/O287,""))</f>
        <v/>
      </c>
      <c r="X287" s="44"/>
      <c r="Y287" s="46"/>
      <c r="Z287" s="49"/>
      <c r="AA287" s="44"/>
      <c r="AB287" s="50" t="str">
        <f aca="false">IFERROR(INDEX(TABLA_IVA!$C$3:$C$6,MATCH(AA287,TABLA_IVA!$A$3:$A$6,0)),"")</f>
        <v/>
      </c>
      <c r="AC287" s="47"/>
      <c r="AD287" s="44"/>
      <c r="AE287" s="51"/>
      <c r="AF287" s="52" t="str">
        <f aca="false">IF(OR(AC287="",AE287="",AB287=""),"",IFERROR(AC287/(1-AE287)*(1+AB287),""))</f>
        <v/>
      </c>
      <c r="AG287" s="47"/>
      <c r="AH287" s="52" t="str">
        <f aca="false">IF(AD287="FIJO",IF(AG287="","",AG287),IF(AF287&lt;&gt;"",AF287,IF(AG287="","",AG287)))</f>
        <v/>
      </c>
      <c r="AI287" s="52" t="str">
        <f aca="false">IF(OR(AH287="",AB287=""),"",IFERROR(AH287/(1+AB287),""))</f>
        <v/>
      </c>
      <c r="AJ287" s="50" t="str">
        <f aca="false">IF(OR(AI287="",AC287=""),"",IFERROR((AI287-AC287)/AI287,""))</f>
        <v/>
      </c>
      <c r="AK287" s="53" t="str">
        <f aca="false">IF(OR(AJ287="",AE287=""),"",AJ287-AE287)</f>
        <v/>
      </c>
      <c r="AL287" s="54" t="str">
        <f aca="false">IF(OR(AH287="",AF287=""),"",AH287-AF287)</f>
        <v/>
      </c>
      <c r="AM287" s="55" t="str">
        <f aca="false">IF(OR(A287="",K287&lt;&gt;"SI"),"",IF(AE287="","Sin objetivo",IF(AJ287="","Faltan datos",IF(AJ287&lt;0,"PÉRDIDA",IF(AK287&lt;-UMB_CRITICO,"MUY POR DEBAJO",IF(AK287&lt;-UMB_BAJO,"POR DEBAJO",IF(AK287&lt;-UMB_AJUSTADO,"AJUSTADO",IF(AK287&lt;=UMB_ALTO,"EN OBJETIVO","POR ENCIMA"))))))))</f>
        <v/>
      </c>
      <c r="AN287" s="44"/>
      <c r="AO287" s="44"/>
      <c r="AP287" s="46"/>
      <c r="AQ287" s="46"/>
      <c r="AR287" s="46"/>
      <c r="AS287" s="44"/>
      <c r="AT287" s="44"/>
      <c r="AU287" s="44"/>
      <c r="AV287" s="44"/>
      <c r="AW287" s="44"/>
      <c r="AX287" s="45"/>
      <c r="AY287" s="44"/>
      <c r="AZ287" s="56"/>
      <c r="BA287" s="45"/>
    </row>
    <row r="288" customFormat="false" ht="15" hidden="false" customHeight="false" outlineLevel="0" collapsed="false">
      <c r="A288" s="44"/>
      <c r="B288" s="44"/>
      <c r="C288" s="45"/>
      <c r="D288" s="45"/>
      <c r="E288" s="44"/>
      <c r="F288" s="44"/>
      <c r="G288" s="44"/>
      <c r="H288" s="44"/>
      <c r="I288" s="44"/>
      <c r="J288" s="44"/>
      <c r="K288" s="44"/>
      <c r="L288" s="44"/>
      <c r="M288" s="44"/>
      <c r="N288" s="44"/>
      <c r="O288" s="46"/>
      <c r="P288" s="44"/>
      <c r="Q288" s="46"/>
      <c r="R288" s="44"/>
      <c r="S288" s="45"/>
      <c r="T288" s="44"/>
      <c r="U288" s="44"/>
      <c r="V288" s="47"/>
      <c r="W288" s="48" t="str">
        <f aca="false">IF(V288="","",IFERROR(V288/O288,""))</f>
        <v/>
      </c>
      <c r="X288" s="44"/>
      <c r="Y288" s="46"/>
      <c r="Z288" s="49"/>
      <c r="AA288" s="44"/>
      <c r="AB288" s="50" t="str">
        <f aca="false">IFERROR(INDEX(TABLA_IVA!$C$3:$C$6,MATCH(AA288,TABLA_IVA!$A$3:$A$6,0)),"")</f>
        <v/>
      </c>
      <c r="AC288" s="47"/>
      <c r="AD288" s="44"/>
      <c r="AE288" s="51"/>
      <c r="AF288" s="52" t="str">
        <f aca="false">IF(OR(AC288="",AE288="",AB288=""),"",IFERROR(AC288/(1-AE288)*(1+AB288),""))</f>
        <v/>
      </c>
      <c r="AG288" s="47"/>
      <c r="AH288" s="52" t="str">
        <f aca="false">IF(AD288="FIJO",IF(AG288="","",AG288),IF(AF288&lt;&gt;"",AF288,IF(AG288="","",AG288)))</f>
        <v/>
      </c>
      <c r="AI288" s="52" t="str">
        <f aca="false">IF(OR(AH288="",AB288=""),"",IFERROR(AH288/(1+AB288),""))</f>
        <v/>
      </c>
      <c r="AJ288" s="50" t="str">
        <f aca="false">IF(OR(AI288="",AC288=""),"",IFERROR((AI288-AC288)/AI288,""))</f>
        <v/>
      </c>
      <c r="AK288" s="53" t="str">
        <f aca="false">IF(OR(AJ288="",AE288=""),"",AJ288-AE288)</f>
        <v/>
      </c>
      <c r="AL288" s="54" t="str">
        <f aca="false">IF(OR(AH288="",AF288=""),"",AH288-AF288)</f>
        <v/>
      </c>
      <c r="AM288" s="55" t="str">
        <f aca="false">IF(OR(A288="",K288&lt;&gt;"SI"),"",IF(AE288="","Sin objetivo",IF(AJ288="","Faltan datos",IF(AJ288&lt;0,"PÉRDIDA",IF(AK288&lt;-UMB_CRITICO,"MUY POR DEBAJO",IF(AK288&lt;-UMB_BAJO,"POR DEBAJO",IF(AK288&lt;-UMB_AJUSTADO,"AJUSTADO",IF(AK288&lt;=UMB_ALTO,"EN OBJETIVO","POR ENCIMA"))))))))</f>
        <v/>
      </c>
      <c r="AN288" s="44"/>
      <c r="AO288" s="44"/>
      <c r="AP288" s="46"/>
      <c r="AQ288" s="46"/>
      <c r="AR288" s="46"/>
      <c r="AS288" s="44"/>
      <c r="AT288" s="44"/>
      <c r="AU288" s="44"/>
      <c r="AV288" s="44"/>
      <c r="AW288" s="44"/>
      <c r="AX288" s="45"/>
      <c r="AY288" s="44"/>
      <c r="AZ288" s="56"/>
      <c r="BA288" s="45"/>
    </row>
    <row r="289" customFormat="false" ht="15" hidden="false" customHeight="false" outlineLevel="0" collapsed="false">
      <c r="A289" s="44"/>
      <c r="B289" s="44"/>
      <c r="C289" s="45"/>
      <c r="D289" s="45"/>
      <c r="E289" s="44"/>
      <c r="F289" s="44"/>
      <c r="G289" s="44"/>
      <c r="H289" s="44"/>
      <c r="I289" s="44"/>
      <c r="J289" s="44"/>
      <c r="K289" s="44"/>
      <c r="L289" s="44"/>
      <c r="M289" s="44"/>
      <c r="N289" s="44"/>
      <c r="O289" s="46"/>
      <c r="P289" s="44"/>
      <c r="Q289" s="46"/>
      <c r="R289" s="44"/>
      <c r="S289" s="45"/>
      <c r="T289" s="44"/>
      <c r="U289" s="44"/>
      <c r="V289" s="47"/>
      <c r="W289" s="48" t="str">
        <f aca="false">IF(V289="","",IFERROR(V289/O289,""))</f>
        <v/>
      </c>
      <c r="X289" s="44"/>
      <c r="Y289" s="46"/>
      <c r="Z289" s="49"/>
      <c r="AA289" s="44"/>
      <c r="AB289" s="50" t="str">
        <f aca="false">IFERROR(INDEX(TABLA_IVA!$C$3:$C$6,MATCH(AA289,TABLA_IVA!$A$3:$A$6,0)),"")</f>
        <v/>
      </c>
      <c r="AC289" s="47"/>
      <c r="AD289" s="44"/>
      <c r="AE289" s="51"/>
      <c r="AF289" s="52" t="str">
        <f aca="false">IF(OR(AC289="",AE289="",AB289=""),"",IFERROR(AC289/(1-AE289)*(1+AB289),""))</f>
        <v/>
      </c>
      <c r="AG289" s="47"/>
      <c r="AH289" s="52" t="str">
        <f aca="false">IF(AD289="FIJO",IF(AG289="","",AG289),IF(AF289&lt;&gt;"",AF289,IF(AG289="","",AG289)))</f>
        <v/>
      </c>
      <c r="AI289" s="52" t="str">
        <f aca="false">IF(OR(AH289="",AB289=""),"",IFERROR(AH289/(1+AB289),""))</f>
        <v/>
      </c>
      <c r="AJ289" s="50" t="str">
        <f aca="false">IF(OR(AI289="",AC289=""),"",IFERROR((AI289-AC289)/AI289,""))</f>
        <v/>
      </c>
      <c r="AK289" s="53" t="str">
        <f aca="false">IF(OR(AJ289="",AE289=""),"",AJ289-AE289)</f>
        <v/>
      </c>
      <c r="AL289" s="54" t="str">
        <f aca="false">IF(OR(AH289="",AF289=""),"",AH289-AF289)</f>
        <v/>
      </c>
      <c r="AM289" s="55" t="str">
        <f aca="false">IF(OR(A289="",K289&lt;&gt;"SI"),"",IF(AE289="","Sin objetivo",IF(AJ289="","Faltan datos",IF(AJ289&lt;0,"PÉRDIDA",IF(AK289&lt;-UMB_CRITICO,"MUY POR DEBAJO",IF(AK289&lt;-UMB_BAJO,"POR DEBAJO",IF(AK289&lt;-UMB_AJUSTADO,"AJUSTADO",IF(AK289&lt;=UMB_ALTO,"EN OBJETIVO","POR ENCIMA"))))))))</f>
        <v/>
      </c>
      <c r="AN289" s="44"/>
      <c r="AO289" s="44"/>
      <c r="AP289" s="46"/>
      <c r="AQ289" s="46"/>
      <c r="AR289" s="46"/>
      <c r="AS289" s="44"/>
      <c r="AT289" s="44"/>
      <c r="AU289" s="44"/>
      <c r="AV289" s="44"/>
      <c r="AW289" s="44"/>
      <c r="AX289" s="45"/>
      <c r="AY289" s="44"/>
      <c r="AZ289" s="56"/>
      <c r="BA289" s="45"/>
    </row>
    <row r="290" customFormat="false" ht="15" hidden="false" customHeight="false" outlineLevel="0" collapsed="false">
      <c r="A290" s="44"/>
      <c r="B290" s="44"/>
      <c r="C290" s="45"/>
      <c r="D290" s="45"/>
      <c r="E290" s="44"/>
      <c r="F290" s="44"/>
      <c r="G290" s="44"/>
      <c r="H290" s="44"/>
      <c r="I290" s="44"/>
      <c r="J290" s="44"/>
      <c r="K290" s="44"/>
      <c r="L290" s="44"/>
      <c r="M290" s="44"/>
      <c r="N290" s="44"/>
      <c r="O290" s="46"/>
      <c r="P290" s="44"/>
      <c r="Q290" s="46"/>
      <c r="R290" s="44"/>
      <c r="S290" s="45"/>
      <c r="T290" s="44"/>
      <c r="U290" s="44"/>
      <c r="V290" s="47"/>
      <c r="W290" s="48" t="str">
        <f aca="false">IF(V290="","",IFERROR(V290/O290,""))</f>
        <v/>
      </c>
      <c r="X290" s="44"/>
      <c r="Y290" s="46"/>
      <c r="Z290" s="49"/>
      <c r="AA290" s="44"/>
      <c r="AB290" s="50" t="str">
        <f aca="false">IFERROR(INDEX(TABLA_IVA!$C$3:$C$6,MATCH(AA290,TABLA_IVA!$A$3:$A$6,0)),"")</f>
        <v/>
      </c>
      <c r="AC290" s="47"/>
      <c r="AD290" s="44"/>
      <c r="AE290" s="51"/>
      <c r="AF290" s="52" t="str">
        <f aca="false">IF(OR(AC290="",AE290="",AB290=""),"",IFERROR(AC290/(1-AE290)*(1+AB290),""))</f>
        <v/>
      </c>
      <c r="AG290" s="47"/>
      <c r="AH290" s="52" t="str">
        <f aca="false">IF(AD290="FIJO",IF(AG290="","",AG290),IF(AF290&lt;&gt;"",AF290,IF(AG290="","",AG290)))</f>
        <v/>
      </c>
      <c r="AI290" s="52" t="str">
        <f aca="false">IF(OR(AH290="",AB290=""),"",IFERROR(AH290/(1+AB290),""))</f>
        <v/>
      </c>
      <c r="AJ290" s="50" t="str">
        <f aca="false">IF(OR(AI290="",AC290=""),"",IFERROR((AI290-AC290)/AI290,""))</f>
        <v/>
      </c>
      <c r="AK290" s="53" t="str">
        <f aca="false">IF(OR(AJ290="",AE290=""),"",AJ290-AE290)</f>
        <v/>
      </c>
      <c r="AL290" s="54" t="str">
        <f aca="false">IF(OR(AH290="",AF290=""),"",AH290-AF290)</f>
        <v/>
      </c>
      <c r="AM290" s="55" t="str">
        <f aca="false">IF(OR(A290="",K290&lt;&gt;"SI"),"",IF(AE290="","Sin objetivo",IF(AJ290="","Faltan datos",IF(AJ290&lt;0,"PÉRDIDA",IF(AK290&lt;-UMB_CRITICO,"MUY POR DEBAJO",IF(AK290&lt;-UMB_BAJO,"POR DEBAJO",IF(AK290&lt;-UMB_AJUSTADO,"AJUSTADO",IF(AK290&lt;=UMB_ALTO,"EN OBJETIVO","POR ENCIMA"))))))))</f>
        <v/>
      </c>
      <c r="AN290" s="44"/>
      <c r="AO290" s="44"/>
      <c r="AP290" s="46"/>
      <c r="AQ290" s="46"/>
      <c r="AR290" s="46"/>
      <c r="AS290" s="44"/>
      <c r="AT290" s="44"/>
      <c r="AU290" s="44"/>
      <c r="AV290" s="44"/>
      <c r="AW290" s="44"/>
      <c r="AX290" s="45"/>
      <c r="AY290" s="44"/>
      <c r="AZ290" s="56"/>
      <c r="BA290" s="45"/>
    </row>
    <row r="291" customFormat="false" ht="15" hidden="false" customHeight="false" outlineLevel="0" collapsed="false">
      <c r="A291" s="44"/>
      <c r="B291" s="44"/>
      <c r="C291" s="45"/>
      <c r="D291" s="45"/>
      <c r="E291" s="44"/>
      <c r="F291" s="44"/>
      <c r="G291" s="44"/>
      <c r="H291" s="44"/>
      <c r="I291" s="44"/>
      <c r="J291" s="44"/>
      <c r="K291" s="44"/>
      <c r="L291" s="44"/>
      <c r="M291" s="44"/>
      <c r="N291" s="44"/>
      <c r="O291" s="46"/>
      <c r="P291" s="44"/>
      <c r="Q291" s="46"/>
      <c r="R291" s="44"/>
      <c r="S291" s="45"/>
      <c r="T291" s="44"/>
      <c r="U291" s="44"/>
      <c r="V291" s="47"/>
      <c r="W291" s="48" t="str">
        <f aca="false">IF(V291="","",IFERROR(V291/O291,""))</f>
        <v/>
      </c>
      <c r="X291" s="44"/>
      <c r="Y291" s="46"/>
      <c r="Z291" s="49"/>
      <c r="AA291" s="44"/>
      <c r="AB291" s="50" t="str">
        <f aca="false">IFERROR(INDEX(TABLA_IVA!$C$3:$C$6,MATCH(AA291,TABLA_IVA!$A$3:$A$6,0)),"")</f>
        <v/>
      </c>
      <c r="AC291" s="47"/>
      <c r="AD291" s="44"/>
      <c r="AE291" s="51"/>
      <c r="AF291" s="52" t="str">
        <f aca="false">IF(OR(AC291="",AE291="",AB291=""),"",IFERROR(AC291/(1-AE291)*(1+AB291),""))</f>
        <v/>
      </c>
      <c r="AG291" s="47"/>
      <c r="AH291" s="52" t="str">
        <f aca="false">IF(AD291="FIJO",IF(AG291="","",AG291),IF(AF291&lt;&gt;"",AF291,IF(AG291="","",AG291)))</f>
        <v/>
      </c>
      <c r="AI291" s="52" t="str">
        <f aca="false">IF(OR(AH291="",AB291=""),"",IFERROR(AH291/(1+AB291),""))</f>
        <v/>
      </c>
      <c r="AJ291" s="50" t="str">
        <f aca="false">IF(OR(AI291="",AC291=""),"",IFERROR((AI291-AC291)/AI291,""))</f>
        <v/>
      </c>
      <c r="AK291" s="53" t="str">
        <f aca="false">IF(OR(AJ291="",AE291=""),"",AJ291-AE291)</f>
        <v/>
      </c>
      <c r="AL291" s="54" t="str">
        <f aca="false">IF(OR(AH291="",AF291=""),"",AH291-AF291)</f>
        <v/>
      </c>
      <c r="AM291" s="55" t="str">
        <f aca="false">IF(OR(A291="",K291&lt;&gt;"SI"),"",IF(AE291="","Sin objetivo",IF(AJ291="","Faltan datos",IF(AJ291&lt;0,"PÉRDIDA",IF(AK291&lt;-UMB_CRITICO,"MUY POR DEBAJO",IF(AK291&lt;-UMB_BAJO,"POR DEBAJO",IF(AK291&lt;-UMB_AJUSTADO,"AJUSTADO",IF(AK291&lt;=UMB_ALTO,"EN OBJETIVO","POR ENCIMA"))))))))</f>
        <v/>
      </c>
      <c r="AN291" s="44"/>
      <c r="AO291" s="44"/>
      <c r="AP291" s="46"/>
      <c r="AQ291" s="46"/>
      <c r="AR291" s="46"/>
      <c r="AS291" s="44"/>
      <c r="AT291" s="44"/>
      <c r="AU291" s="44"/>
      <c r="AV291" s="44"/>
      <c r="AW291" s="44"/>
      <c r="AX291" s="45"/>
      <c r="AY291" s="44"/>
      <c r="AZ291" s="56"/>
      <c r="BA291" s="45"/>
    </row>
    <row r="292" customFormat="false" ht="15" hidden="false" customHeight="false" outlineLevel="0" collapsed="false">
      <c r="A292" s="44"/>
      <c r="B292" s="44"/>
      <c r="C292" s="45"/>
      <c r="D292" s="45"/>
      <c r="E292" s="44"/>
      <c r="F292" s="44"/>
      <c r="G292" s="44"/>
      <c r="H292" s="44"/>
      <c r="I292" s="44"/>
      <c r="J292" s="44"/>
      <c r="K292" s="44"/>
      <c r="L292" s="44"/>
      <c r="M292" s="44"/>
      <c r="N292" s="44"/>
      <c r="O292" s="46"/>
      <c r="P292" s="44"/>
      <c r="Q292" s="46"/>
      <c r="R292" s="44"/>
      <c r="S292" s="45"/>
      <c r="T292" s="44"/>
      <c r="U292" s="44"/>
      <c r="V292" s="47"/>
      <c r="W292" s="48" t="str">
        <f aca="false">IF(V292="","",IFERROR(V292/O292,""))</f>
        <v/>
      </c>
      <c r="X292" s="44"/>
      <c r="Y292" s="46"/>
      <c r="Z292" s="49"/>
      <c r="AA292" s="44"/>
      <c r="AB292" s="50" t="str">
        <f aca="false">IFERROR(INDEX(TABLA_IVA!$C$3:$C$6,MATCH(AA292,TABLA_IVA!$A$3:$A$6,0)),"")</f>
        <v/>
      </c>
      <c r="AC292" s="47"/>
      <c r="AD292" s="44"/>
      <c r="AE292" s="51"/>
      <c r="AF292" s="52" t="str">
        <f aca="false">IF(OR(AC292="",AE292="",AB292=""),"",IFERROR(AC292/(1-AE292)*(1+AB292),""))</f>
        <v/>
      </c>
      <c r="AG292" s="47"/>
      <c r="AH292" s="52" t="str">
        <f aca="false">IF(AD292="FIJO",IF(AG292="","",AG292),IF(AF292&lt;&gt;"",AF292,IF(AG292="","",AG292)))</f>
        <v/>
      </c>
      <c r="AI292" s="52" t="str">
        <f aca="false">IF(OR(AH292="",AB292=""),"",IFERROR(AH292/(1+AB292),""))</f>
        <v/>
      </c>
      <c r="AJ292" s="50" t="str">
        <f aca="false">IF(OR(AI292="",AC292=""),"",IFERROR((AI292-AC292)/AI292,""))</f>
        <v/>
      </c>
      <c r="AK292" s="53" t="str">
        <f aca="false">IF(OR(AJ292="",AE292=""),"",AJ292-AE292)</f>
        <v/>
      </c>
      <c r="AL292" s="54" t="str">
        <f aca="false">IF(OR(AH292="",AF292=""),"",AH292-AF292)</f>
        <v/>
      </c>
      <c r="AM292" s="55" t="str">
        <f aca="false">IF(OR(A292="",K292&lt;&gt;"SI"),"",IF(AE292="","Sin objetivo",IF(AJ292="","Faltan datos",IF(AJ292&lt;0,"PÉRDIDA",IF(AK292&lt;-UMB_CRITICO,"MUY POR DEBAJO",IF(AK292&lt;-UMB_BAJO,"POR DEBAJO",IF(AK292&lt;-UMB_AJUSTADO,"AJUSTADO",IF(AK292&lt;=UMB_ALTO,"EN OBJETIVO","POR ENCIMA"))))))))</f>
        <v/>
      </c>
      <c r="AN292" s="44"/>
      <c r="AO292" s="44"/>
      <c r="AP292" s="46"/>
      <c r="AQ292" s="46"/>
      <c r="AR292" s="46"/>
      <c r="AS292" s="44"/>
      <c r="AT292" s="44"/>
      <c r="AU292" s="44"/>
      <c r="AV292" s="44"/>
      <c r="AW292" s="44"/>
      <c r="AX292" s="45"/>
      <c r="AY292" s="44"/>
      <c r="AZ292" s="56"/>
      <c r="BA292" s="45"/>
    </row>
    <row r="293" customFormat="false" ht="15" hidden="false" customHeight="false" outlineLevel="0" collapsed="false">
      <c r="A293" s="44"/>
      <c r="B293" s="44"/>
      <c r="C293" s="45"/>
      <c r="D293" s="45"/>
      <c r="E293" s="44"/>
      <c r="F293" s="44"/>
      <c r="G293" s="44"/>
      <c r="H293" s="44"/>
      <c r="I293" s="44"/>
      <c r="J293" s="44"/>
      <c r="K293" s="44"/>
      <c r="L293" s="44"/>
      <c r="M293" s="44"/>
      <c r="N293" s="44"/>
      <c r="O293" s="46"/>
      <c r="P293" s="44"/>
      <c r="Q293" s="46"/>
      <c r="R293" s="44"/>
      <c r="S293" s="45"/>
      <c r="T293" s="44"/>
      <c r="U293" s="44"/>
      <c r="V293" s="47"/>
      <c r="W293" s="48" t="str">
        <f aca="false">IF(V293="","",IFERROR(V293/O293,""))</f>
        <v/>
      </c>
      <c r="X293" s="44"/>
      <c r="Y293" s="46"/>
      <c r="Z293" s="49"/>
      <c r="AA293" s="44"/>
      <c r="AB293" s="50" t="str">
        <f aca="false">IFERROR(INDEX(TABLA_IVA!$C$3:$C$6,MATCH(AA293,TABLA_IVA!$A$3:$A$6,0)),"")</f>
        <v/>
      </c>
      <c r="AC293" s="47"/>
      <c r="AD293" s="44"/>
      <c r="AE293" s="51"/>
      <c r="AF293" s="52" t="str">
        <f aca="false">IF(OR(AC293="",AE293="",AB293=""),"",IFERROR(AC293/(1-AE293)*(1+AB293),""))</f>
        <v/>
      </c>
      <c r="AG293" s="47"/>
      <c r="AH293" s="52" t="str">
        <f aca="false">IF(AD293="FIJO",IF(AG293="","",AG293),IF(AF293&lt;&gt;"",AF293,IF(AG293="","",AG293)))</f>
        <v/>
      </c>
      <c r="AI293" s="52" t="str">
        <f aca="false">IF(OR(AH293="",AB293=""),"",IFERROR(AH293/(1+AB293),""))</f>
        <v/>
      </c>
      <c r="AJ293" s="50" t="str">
        <f aca="false">IF(OR(AI293="",AC293=""),"",IFERROR((AI293-AC293)/AI293,""))</f>
        <v/>
      </c>
      <c r="AK293" s="53" t="str">
        <f aca="false">IF(OR(AJ293="",AE293=""),"",AJ293-AE293)</f>
        <v/>
      </c>
      <c r="AL293" s="54" t="str">
        <f aca="false">IF(OR(AH293="",AF293=""),"",AH293-AF293)</f>
        <v/>
      </c>
      <c r="AM293" s="55" t="str">
        <f aca="false">IF(OR(A293="",K293&lt;&gt;"SI"),"",IF(AE293="","Sin objetivo",IF(AJ293="","Faltan datos",IF(AJ293&lt;0,"PÉRDIDA",IF(AK293&lt;-UMB_CRITICO,"MUY POR DEBAJO",IF(AK293&lt;-UMB_BAJO,"POR DEBAJO",IF(AK293&lt;-UMB_AJUSTADO,"AJUSTADO",IF(AK293&lt;=UMB_ALTO,"EN OBJETIVO","POR ENCIMA"))))))))</f>
        <v/>
      </c>
      <c r="AN293" s="44"/>
      <c r="AO293" s="44"/>
      <c r="AP293" s="46"/>
      <c r="AQ293" s="46"/>
      <c r="AR293" s="46"/>
      <c r="AS293" s="44"/>
      <c r="AT293" s="44"/>
      <c r="AU293" s="44"/>
      <c r="AV293" s="44"/>
      <c r="AW293" s="44"/>
      <c r="AX293" s="45"/>
      <c r="AY293" s="44"/>
      <c r="AZ293" s="56"/>
      <c r="BA293" s="45"/>
    </row>
    <row r="294" customFormat="false" ht="15" hidden="false" customHeight="false" outlineLevel="0" collapsed="false">
      <c r="A294" s="44"/>
      <c r="B294" s="44"/>
      <c r="C294" s="45"/>
      <c r="D294" s="45"/>
      <c r="E294" s="44"/>
      <c r="F294" s="44"/>
      <c r="G294" s="44"/>
      <c r="H294" s="44"/>
      <c r="I294" s="44"/>
      <c r="J294" s="44"/>
      <c r="K294" s="44"/>
      <c r="L294" s="44"/>
      <c r="M294" s="44"/>
      <c r="N294" s="44"/>
      <c r="O294" s="46"/>
      <c r="P294" s="44"/>
      <c r="Q294" s="46"/>
      <c r="R294" s="44"/>
      <c r="S294" s="45"/>
      <c r="T294" s="44"/>
      <c r="U294" s="44"/>
      <c r="V294" s="47"/>
      <c r="W294" s="48" t="str">
        <f aca="false">IF(V294="","",IFERROR(V294/O294,""))</f>
        <v/>
      </c>
      <c r="X294" s="44"/>
      <c r="Y294" s="46"/>
      <c r="Z294" s="49"/>
      <c r="AA294" s="44"/>
      <c r="AB294" s="50" t="str">
        <f aca="false">IFERROR(INDEX(TABLA_IVA!$C$3:$C$6,MATCH(AA294,TABLA_IVA!$A$3:$A$6,0)),"")</f>
        <v/>
      </c>
      <c r="AC294" s="47"/>
      <c r="AD294" s="44"/>
      <c r="AE294" s="51"/>
      <c r="AF294" s="52" t="str">
        <f aca="false">IF(OR(AC294="",AE294="",AB294=""),"",IFERROR(AC294/(1-AE294)*(1+AB294),""))</f>
        <v/>
      </c>
      <c r="AG294" s="47"/>
      <c r="AH294" s="52" t="str">
        <f aca="false">IF(AD294="FIJO",IF(AG294="","",AG294),IF(AF294&lt;&gt;"",AF294,IF(AG294="","",AG294)))</f>
        <v/>
      </c>
      <c r="AI294" s="52" t="str">
        <f aca="false">IF(OR(AH294="",AB294=""),"",IFERROR(AH294/(1+AB294),""))</f>
        <v/>
      </c>
      <c r="AJ294" s="50" t="str">
        <f aca="false">IF(OR(AI294="",AC294=""),"",IFERROR((AI294-AC294)/AI294,""))</f>
        <v/>
      </c>
      <c r="AK294" s="53" t="str">
        <f aca="false">IF(OR(AJ294="",AE294=""),"",AJ294-AE294)</f>
        <v/>
      </c>
      <c r="AL294" s="54" t="str">
        <f aca="false">IF(OR(AH294="",AF294=""),"",AH294-AF294)</f>
        <v/>
      </c>
      <c r="AM294" s="55" t="str">
        <f aca="false">IF(OR(A294="",K294&lt;&gt;"SI"),"",IF(AE294="","Sin objetivo",IF(AJ294="","Faltan datos",IF(AJ294&lt;0,"PÉRDIDA",IF(AK294&lt;-UMB_CRITICO,"MUY POR DEBAJO",IF(AK294&lt;-UMB_BAJO,"POR DEBAJO",IF(AK294&lt;-UMB_AJUSTADO,"AJUSTADO",IF(AK294&lt;=UMB_ALTO,"EN OBJETIVO","POR ENCIMA"))))))))</f>
        <v/>
      </c>
      <c r="AN294" s="44"/>
      <c r="AO294" s="44"/>
      <c r="AP294" s="46"/>
      <c r="AQ294" s="46"/>
      <c r="AR294" s="46"/>
      <c r="AS294" s="44"/>
      <c r="AT294" s="44"/>
      <c r="AU294" s="44"/>
      <c r="AV294" s="44"/>
      <c r="AW294" s="44"/>
      <c r="AX294" s="45"/>
      <c r="AY294" s="44"/>
      <c r="AZ294" s="56"/>
      <c r="BA294" s="45"/>
    </row>
    <row r="295" customFormat="false" ht="15" hidden="false" customHeight="false" outlineLevel="0" collapsed="false">
      <c r="A295" s="44"/>
      <c r="B295" s="44"/>
      <c r="C295" s="45"/>
      <c r="D295" s="45"/>
      <c r="E295" s="44"/>
      <c r="F295" s="44"/>
      <c r="G295" s="44"/>
      <c r="H295" s="44"/>
      <c r="I295" s="44"/>
      <c r="J295" s="44"/>
      <c r="K295" s="44"/>
      <c r="L295" s="44"/>
      <c r="M295" s="44"/>
      <c r="N295" s="44"/>
      <c r="O295" s="46"/>
      <c r="P295" s="44"/>
      <c r="Q295" s="46"/>
      <c r="R295" s="44"/>
      <c r="S295" s="45"/>
      <c r="T295" s="44"/>
      <c r="U295" s="44"/>
      <c r="V295" s="47"/>
      <c r="W295" s="48" t="str">
        <f aca="false">IF(V295="","",IFERROR(V295/O295,""))</f>
        <v/>
      </c>
      <c r="X295" s="44"/>
      <c r="Y295" s="46"/>
      <c r="Z295" s="49"/>
      <c r="AA295" s="44"/>
      <c r="AB295" s="50" t="str">
        <f aca="false">IFERROR(INDEX(TABLA_IVA!$C$3:$C$6,MATCH(AA295,TABLA_IVA!$A$3:$A$6,0)),"")</f>
        <v/>
      </c>
      <c r="AC295" s="47"/>
      <c r="AD295" s="44"/>
      <c r="AE295" s="51"/>
      <c r="AF295" s="52" t="str">
        <f aca="false">IF(OR(AC295="",AE295="",AB295=""),"",IFERROR(AC295/(1-AE295)*(1+AB295),""))</f>
        <v/>
      </c>
      <c r="AG295" s="47"/>
      <c r="AH295" s="52" t="str">
        <f aca="false">IF(AD295="FIJO",IF(AG295="","",AG295),IF(AF295&lt;&gt;"",AF295,IF(AG295="","",AG295)))</f>
        <v/>
      </c>
      <c r="AI295" s="52" t="str">
        <f aca="false">IF(OR(AH295="",AB295=""),"",IFERROR(AH295/(1+AB295),""))</f>
        <v/>
      </c>
      <c r="AJ295" s="50" t="str">
        <f aca="false">IF(OR(AI295="",AC295=""),"",IFERROR((AI295-AC295)/AI295,""))</f>
        <v/>
      </c>
      <c r="AK295" s="53" t="str">
        <f aca="false">IF(OR(AJ295="",AE295=""),"",AJ295-AE295)</f>
        <v/>
      </c>
      <c r="AL295" s="54" t="str">
        <f aca="false">IF(OR(AH295="",AF295=""),"",AH295-AF295)</f>
        <v/>
      </c>
      <c r="AM295" s="55" t="str">
        <f aca="false">IF(OR(A295="",K295&lt;&gt;"SI"),"",IF(AE295="","Sin objetivo",IF(AJ295="","Faltan datos",IF(AJ295&lt;0,"PÉRDIDA",IF(AK295&lt;-UMB_CRITICO,"MUY POR DEBAJO",IF(AK295&lt;-UMB_BAJO,"POR DEBAJO",IF(AK295&lt;-UMB_AJUSTADO,"AJUSTADO",IF(AK295&lt;=UMB_ALTO,"EN OBJETIVO","POR ENCIMA"))))))))</f>
        <v/>
      </c>
      <c r="AN295" s="44"/>
      <c r="AO295" s="44"/>
      <c r="AP295" s="46"/>
      <c r="AQ295" s="46"/>
      <c r="AR295" s="46"/>
      <c r="AS295" s="44"/>
      <c r="AT295" s="44"/>
      <c r="AU295" s="44"/>
      <c r="AV295" s="44"/>
      <c r="AW295" s="44"/>
      <c r="AX295" s="45"/>
      <c r="AY295" s="44"/>
      <c r="AZ295" s="56"/>
      <c r="BA295" s="45"/>
    </row>
    <row r="296" customFormat="false" ht="15" hidden="false" customHeight="false" outlineLevel="0" collapsed="false">
      <c r="A296" s="44"/>
      <c r="B296" s="44"/>
      <c r="C296" s="45"/>
      <c r="D296" s="45"/>
      <c r="E296" s="44"/>
      <c r="F296" s="44"/>
      <c r="G296" s="44"/>
      <c r="H296" s="44"/>
      <c r="I296" s="44"/>
      <c r="J296" s="44"/>
      <c r="K296" s="44"/>
      <c r="L296" s="44"/>
      <c r="M296" s="44"/>
      <c r="N296" s="44"/>
      <c r="O296" s="46"/>
      <c r="P296" s="44"/>
      <c r="Q296" s="46"/>
      <c r="R296" s="44"/>
      <c r="S296" s="45"/>
      <c r="T296" s="44"/>
      <c r="U296" s="44"/>
      <c r="V296" s="47"/>
      <c r="W296" s="48" t="str">
        <f aca="false">IF(V296="","",IFERROR(V296/O296,""))</f>
        <v/>
      </c>
      <c r="X296" s="44"/>
      <c r="Y296" s="46"/>
      <c r="Z296" s="49"/>
      <c r="AA296" s="44"/>
      <c r="AB296" s="50" t="str">
        <f aca="false">IFERROR(INDEX(TABLA_IVA!$C$3:$C$6,MATCH(AA296,TABLA_IVA!$A$3:$A$6,0)),"")</f>
        <v/>
      </c>
      <c r="AC296" s="47"/>
      <c r="AD296" s="44"/>
      <c r="AE296" s="51"/>
      <c r="AF296" s="52" t="str">
        <f aca="false">IF(OR(AC296="",AE296="",AB296=""),"",IFERROR(AC296/(1-AE296)*(1+AB296),""))</f>
        <v/>
      </c>
      <c r="AG296" s="47"/>
      <c r="AH296" s="52" t="str">
        <f aca="false">IF(AD296="FIJO",IF(AG296="","",AG296),IF(AF296&lt;&gt;"",AF296,IF(AG296="","",AG296)))</f>
        <v/>
      </c>
      <c r="AI296" s="52" t="str">
        <f aca="false">IF(OR(AH296="",AB296=""),"",IFERROR(AH296/(1+AB296),""))</f>
        <v/>
      </c>
      <c r="AJ296" s="50" t="str">
        <f aca="false">IF(OR(AI296="",AC296=""),"",IFERROR((AI296-AC296)/AI296,""))</f>
        <v/>
      </c>
      <c r="AK296" s="53" t="str">
        <f aca="false">IF(OR(AJ296="",AE296=""),"",AJ296-AE296)</f>
        <v/>
      </c>
      <c r="AL296" s="54" t="str">
        <f aca="false">IF(OR(AH296="",AF296=""),"",AH296-AF296)</f>
        <v/>
      </c>
      <c r="AM296" s="55" t="str">
        <f aca="false">IF(OR(A296="",K296&lt;&gt;"SI"),"",IF(AE296="","Sin objetivo",IF(AJ296="","Faltan datos",IF(AJ296&lt;0,"PÉRDIDA",IF(AK296&lt;-UMB_CRITICO,"MUY POR DEBAJO",IF(AK296&lt;-UMB_BAJO,"POR DEBAJO",IF(AK296&lt;-UMB_AJUSTADO,"AJUSTADO",IF(AK296&lt;=UMB_ALTO,"EN OBJETIVO","POR ENCIMA"))))))))</f>
        <v/>
      </c>
      <c r="AN296" s="44"/>
      <c r="AO296" s="44"/>
      <c r="AP296" s="46"/>
      <c r="AQ296" s="46"/>
      <c r="AR296" s="46"/>
      <c r="AS296" s="44"/>
      <c r="AT296" s="44"/>
      <c r="AU296" s="44"/>
      <c r="AV296" s="44"/>
      <c r="AW296" s="44"/>
      <c r="AX296" s="45"/>
      <c r="AY296" s="44"/>
      <c r="AZ296" s="56"/>
      <c r="BA296" s="45"/>
    </row>
    <row r="297" customFormat="false" ht="15" hidden="false" customHeight="false" outlineLevel="0" collapsed="false">
      <c r="A297" s="44"/>
      <c r="B297" s="44"/>
      <c r="C297" s="45"/>
      <c r="D297" s="45"/>
      <c r="E297" s="44"/>
      <c r="F297" s="44"/>
      <c r="G297" s="44"/>
      <c r="H297" s="44"/>
      <c r="I297" s="44"/>
      <c r="J297" s="44"/>
      <c r="K297" s="44"/>
      <c r="L297" s="44"/>
      <c r="M297" s="44"/>
      <c r="N297" s="44"/>
      <c r="O297" s="46"/>
      <c r="P297" s="44"/>
      <c r="Q297" s="46"/>
      <c r="R297" s="44"/>
      <c r="S297" s="45"/>
      <c r="T297" s="44"/>
      <c r="U297" s="44"/>
      <c r="V297" s="47"/>
      <c r="W297" s="48" t="str">
        <f aca="false">IF(V297="","",IFERROR(V297/O297,""))</f>
        <v/>
      </c>
      <c r="X297" s="44"/>
      <c r="Y297" s="46"/>
      <c r="Z297" s="49"/>
      <c r="AA297" s="44"/>
      <c r="AB297" s="50" t="str">
        <f aca="false">IFERROR(INDEX(TABLA_IVA!$C$3:$C$6,MATCH(AA297,TABLA_IVA!$A$3:$A$6,0)),"")</f>
        <v/>
      </c>
      <c r="AC297" s="47"/>
      <c r="AD297" s="44"/>
      <c r="AE297" s="51"/>
      <c r="AF297" s="52" t="str">
        <f aca="false">IF(OR(AC297="",AE297="",AB297=""),"",IFERROR(AC297/(1-AE297)*(1+AB297),""))</f>
        <v/>
      </c>
      <c r="AG297" s="47"/>
      <c r="AH297" s="52" t="str">
        <f aca="false">IF(AD297="FIJO",IF(AG297="","",AG297),IF(AF297&lt;&gt;"",AF297,IF(AG297="","",AG297)))</f>
        <v/>
      </c>
      <c r="AI297" s="52" t="str">
        <f aca="false">IF(OR(AH297="",AB297=""),"",IFERROR(AH297/(1+AB297),""))</f>
        <v/>
      </c>
      <c r="AJ297" s="50" t="str">
        <f aca="false">IF(OR(AI297="",AC297=""),"",IFERROR((AI297-AC297)/AI297,""))</f>
        <v/>
      </c>
      <c r="AK297" s="53" t="str">
        <f aca="false">IF(OR(AJ297="",AE297=""),"",AJ297-AE297)</f>
        <v/>
      </c>
      <c r="AL297" s="54" t="str">
        <f aca="false">IF(OR(AH297="",AF297=""),"",AH297-AF297)</f>
        <v/>
      </c>
      <c r="AM297" s="55" t="str">
        <f aca="false">IF(OR(A297="",K297&lt;&gt;"SI"),"",IF(AE297="","Sin objetivo",IF(AJ297="","Faltan datos",IF(AJ297&lt;0,"PÉRDIDA",IF(AK297&lt;-UMB_CRITICO,"MUY POR DEBAJO",IF(AK297&lt;-UMB_BAJO,"POR DEBAJO",IF(AK297&lt;-UMB_AJUSTADO,"AJUSTADO",IF(AK297&lt;=UMB_ALTO,"EN OBJETIVO","POR ENCIMA"))))))))</f>
        <v/>
      </c>
      <c r="AN297" s="44"/>
      <c r="AO297" s="44"/>
      <c r="AP297" s="46"/>
      <c r="AQ297" s="46"/>
      <c r="AR297" s="46"/>
      <c r="AS297" s="44"/>
      <c r="AT297" s="44"/>
      <c r="AU297" s="44"/>
      <c r="AV297" s="44"/>
      <c r="AW297" s="44"/>
      <c r="AX297" s="45"/>
      <c r="AY297" s="44"/>
      <c r="AZ297" s="56"/>
      <c r="BA297" s="45"/>
    </row>
    <row r="298" customFormat="false" ht="15" hidden="false" customHeight="false" outlineLevel="0" collapsed="false">
      <c r="A298" s="44"/>
      <c r="B298" s="44"/>
      <c r="C298" s="45"/>
      <c r="D298" s="45"/>
      <c r="E298" s="44"/>
      <c r="F298" s="44"/>
      <c r="G298" s="44"/>
      <c r="H298" s="44"/>
      <c r="I298" s="44"/>
      <c r="J298" s="44"/>
      <c r="K298" s="44"/>
      <c r="L298" s="44"/>
      <c r="M298" s="44"/>
      <c r="N298" s="44"/>
      <c r="O298" s="46"/>
      <c r="P298" s="44"/>
      <c r="Q298" s="46"/>
      <c r="R298" s="44"/>
      <c r="S298" s="45"/>
      <c r="T298" s="44"/>
      <c r="U298" s="44"/>
      <c r="V298" s="47"/>
      <c r="W298" s="48" t="str">
        <f aca="false">IF(V298="","",IFERROR(V298/O298,""))</f>
        <v/>
      </c>
      <c r="X298" s="44"/>
      <c r="Y298" s="46"/>
      <c r="Z298" s="49"/>
      <c r="AA298" s="44"/>
      <c r="AB298" s="50" t="str">
        <f aca="false">IFERROR(INDEX(TABLA_IVA!$C$3:$C$6,MATCH(AA298,TABLA_IVA!$A$3:$A$6,0)),"")</f>
        <v/>
      </c>
      <c r="AC298" s="47"/>
      <c r="AD298" s="44"/>
      <c r="AE298" s="51"/>
      <c r="AF298" s="52" t="str">
        <f aca="false">IF(OR(AC298="",AE298="",AB298=""),"",IFERROR(AC298/(1-AE298)*(1+AB298),""))</f>
        <v/>
      </c>
      <c r="AG298" s="47"/>
      <c r="AH298" s="52" t="str">
        <f aca="false">IF(AD298="FIJO",IF(AG298="","",AG298),IF(AF298&lt;&gt;"",AF298,IF(AG298="","",AG298)))</f>
        <v/>
      </c>
      <c r="AI298" s="52" t="str">
        <f aca="false">IF(OR(AH298="",AB298=""),"",IFERROR(AH298/(1+AB298),""))</f>
        <v/>
      </c>
      <c r="AJ298" s="50" t="str">
        <f aca="false">IF(OR(AI298="",AC298=""),"",IFERROR((AI298-AC298)/AI298,""))</f>
        <v/>
      </c>
      <c r="AK298" s="53" t="str">
        <f aca="false">IF(OR(AJ298="",AE298=""),"",AJ298-AE298)</f>
        <v/>
      </c>
      <c r="AL298" s="54" t="str">
        <f aca="false">IF(OR(AH298="",AF298=""),"",AH298-AF298)</f>
        <v/>
      </c>
      <c r="AM298" s="55" t="str">
        <f aca="false">IF(OR(A298="",K298&lt;&gt;"SI"),"",IF(AE298="","Sin objetivo",IF(AJ298="","Faltan datos",IF(AJ298&lt;0,"PÉRDIDA",IF(AK298&lt;-UMB_CRITICO,"MUY POR DEBAJO",IF(AK298&lt;-UMB_BAJO,"POR DEBAJO",IF(AK298&lt;-UMB_AJUSTADO,"AJUSTADO",IF(AK298&lt;=UMB_ALTO,"EN OBJETIVO","POR ENCIMA"))))))))</f>
        <v/>
      </c>
      <c r="AN298" s="44"/>
      <c r="AO298" s="44"/>
      <c r="AP298" s="46"/>
      <c r="AQ298" s="46"/>
      <c r="AR298" s="46"/>
      <c r="AS298" s="44"/>
      <c r="AT298" s="44"/>
      <c r="AU298" s="44"/>
      <c r="AV298" s="44"/>
      <c r="AW298" s="44"/>
      <c r="AX298" s="45"/>
      <c r="AY298" s="44"/>
      <c r="AZ298" s="56"/>
      <c r="BA298" s="45"/>
    </row>
    <row r="299" customFormat="false" ht="15" hidden="false" customHeight="false" outlineLevel="0" collapsed="false">
      <c r="A299" s="44"/>
      <c r="B299" s="44"/>
      <c r="C299" s="45"/>
      <c r="D299" s="45"/>
      <c r="E299" s="44"/>
      <c r="F299" s="44"/>
      <c r="G299" s="44"/>
      <c r="H299" s="44"/>
      <c r="I299" s="44"/>
      <c r="J299" s="44"/>
      <c r="K299" s="44"/>
      <c r="L299" s="44"/>
      <c r="M299" s="44"/>
      <c r="N299" s="44"/>
      <c r="O299" s="46"/>
      <c r="P299" s="44"/>
      <c r="Q299" s="46"/>
      <c r="R299" s="44"/>
      <c r="S299" s="45"/>
      <c r="T299" s="44"/>
      <c r="U299" s="44"/>
      <c r="V299" s="47"/>
      <c r="W299" s="48" t="str">
        <f aca="false">IF(V299="","",IFERROR(V299/O299,""))</f>
        <v/>
      </c>
      <c r="X299" s="44"/>
      <c r="Y299" s="46"/>
      <c r="Z299" s="49"/>
      <c r="AA299" s="44"/>
      <c r="AB299" s="50" t="str">
        <f aca="false">IFERROR(INDEX(TABLA_IVA!$C$3:$C$6,MATCH(AA299,TABLA_IVA!$A$3:$A$6,0)),"")</f>
        <v/>
      </c>
      <c r="AC299" s="47"/>
      <c r="AD299" s="44"/>
      <c r="AE299" s="51"/>
      <c r="AF299" s="52" t="str">
        <f aca="false">IF(OR(AC299="",AE299="",AB299=""),"",IFERROR(AC299/(1-AE299)*(1+AB299),""))</f>
        <v/>
      </c>
      <c r="AG299" s="47"/>
      <c r="AH299" s="52" t="str">
        <f aca="false">IF(AD299="FIJO",IF(AG299="","",AG299),IF(AF299&lt;&gt;"",AF299,IF(AG299="","",AG299)))</f>
        <v/>
      </c>
      <c r="AI299" s="52" t="str">
        <f aca="false">IF(OR(AH299="",AB299=""),"",IFERROR(AH299/(1+AB299),""))</f>
        <v/>
      </c>
      <c r="AJ299" s="50" t="str">
        <f aca="false">IF(OR(AI299="",AC299=""),"",IFERROR((AI299-AC299)/AI299,""))</f>
        <v/>
      </c>
      <c r="AK299" s="53" t="str">
        <f aca="false">IF(OR(AJ299="",AE299=""),"",AJ299-AE299)</f>
        <v/>
      </c>
      <c r="AL299" s="54" t="str">
        <f aca="false">IF(OR(AH299="",AF299=""),"",AH299-AF299)</f>
        <v/>
      </c>
      <c r="AM299" s="55" t="str">
        <f aca="false">IF(OR(A299="",K299&lt;&gt;"SI"),"",IF(AE299="","Sin objetivo",IF(AJ299="","Faltan datos",IF(AJ299&lt;0,"PÉRDIDA",IF(AK299&lt;-UMB_CRITICO,"MUY POR DEBAJO",IF(AK299&lt;-UMB_BAJO,"POR DEBAJO",IF(AK299&lt;-UMB_AJUSTADO,"AJUSTADO",IF(AK299&lt;=UMB_ALTO,"EN OBJETIVO","POR ENCIMA"))))))))</f>
        <v/>
      </c>
      <c r="AN299" s="44"/>
      <c r="AO299" s="44"/>
      <c r="AP299" s="46"/>
      <c r="AQ299" s="46"/>
      <c r="AR299" s="46"/>
      <c r="AS299" s="44"/>
      <c r="AT299" s="44"/>
      <c r="AU299" s="44"/>
      <c r="AV299" s="44"/>
      <c r="AW299" s="44"/>
      <c r="AX299" s="45"/>
      <c r="AY299" s="44"/>
      <c r="AZ299" s="56"/>
      <c r="BA299" s="45"/>
    </row>
    <row r="300" customFormat="false" ht="15" hidden="false" customHeight="false" outlineLevel="0" collapsed="false">
      <c r="A300" s="44"/>
      <c r="B300" s="44"/>
      <c r="C300" s="45"/>
      <c r="D300" s="45"/>
      <c r="E300" s="44"/>
      <c r="F300" s="44"/>
      <c r="G300" s="44"/>
      <c r="H300" s="44"/>
      <c r="I300" s="44"/>
      <c r="J300" s="44"/>
      <c r="K300" s="44"/>
      <c r="L300" s="44"/>
      <c r="M300" s="44"/>
      <c r="N300" s="44"/>
      <c r="O300" s="46"/>
      <c r="P300" s="44"/>
      <c r="Q300" s="46"/>
      <c r="R300" s="44"/>
      <c r="S300" s="45"/>
      <c r="T300" s="44"/>
      <c r="U300" s="44"/>
      <c r="V300" s="47"/>
      <c r="W300" s="48" t="str">
        <f aca="false">IF(V300="","",IFERROR(V300/O300,""))</f>
        <v/>
      </c>
      <c r="X300" s="44"/>
      <c r="Y300" s="46"/>
      <c r="Z300" s="49"/>
      <c r="AA300" s="44"/>
      <c r="AB300" s="50" t="str">
        <f aca="false">IFERROR(INDEX(TABLA_IVA!$C$3:$C$6,MATCH(AA300,TABLA_IVA!$A$3:$A$6,0)),"")</f>
        <v/>
      </c>
      <c r="AC300" s="47"/>
      <c r="AD300" s="44"/>
      <c r="AE300" s="51"/>
      <c r="AF300" s="52" t="str">
        <f aca="false">IF(OR(AC300="",AE300="",AB300=""),"",IFERROR(AC300/(1-AE300)*(1+AB300),""))</f>
        <v/>
      </c>
      <c r="AG300" s="47"/>
      <c r="AH300" s="52" t="str">
        <f aca="false">IF(AD300="FIJO",IF(AG300="","",AG300),IF(AF300&lt;&gt;"",AF300,IF(AG300="","",AG300)))</f>
        <v/>
      </c>
      <c r="AI300" s="52" t="str">
        <f aca="false">IF(OR(AH300="",AB300=""),"",IFERROR(AH300/(1+AB300),""))</f>
        <v/>
      </c>
      <c r="AJ300" s="50" t="str">
        <f aca="false">IF(OR(AI300="",AC300=""),"",IFERROR((AI300-AC300)/AI300,""))</f>
        <v/>
      </c>
      <c r="AK300" s="53" t="str">
        <f aca="false">IF(OR(AJ300="",AE300=""),"",AJ300-AE300)</f>
        <v/>
      </c>
      <c r="AL300" s="54" t="str">
        <f aca="false">IF(OR(AH300="",AF300=""),"",AH300-AF300)</f>
        <v/>
      </c>
      <c r="AM300" s="55" t="str">
        <f aca="false">IF(OR(A300="",K300&lt;&gt;"SI"),"",IF(AE300="","Sin objetivo",IF(AJ300="","Faltan datos",IF(AJ300&lt;0,"PÉRDIDA",IF(AK300&lt;-UMB_CRITICO,"MUY POR DEBAJO",IF(AK300&lt;-UMB_BAJO,"POR DEBAJO",IF(AK300&lt;-UMB_AJUSTADO,"AJUSTADO",IF(AK300&lt;=UMB_ALTO,"EN OBJETIVO","POR ENCIMA"))))))))</f>
        <v/>
      </c>
      <c r="AN300" s="44"/>
      <c r="AO300" s="44"/>
      <c r="AP300" s="46"/>
      <c r="AQ300" s="46"/>
      <c r="AR300" s="46"/>
      <c r="AS300" s="44"/>
      <c r="AT300" s="44"/>
      <c r="AU300" s="44"/>
      <c r="AV300" s="44"/>
      <c r="AW300" s="44"/>
      <c r="AX300" s="45"/>
      <c r="AY300" s="44"/>
      <c r="AZ300" s="56"/>
      <c r="BA300" s="45"/>
    </row>
    <row r="301" customFormat="false" ht="15" hidden="false" customHeight="false" outlineLevel="0" collapsed="false">
      <c r="A301" s="44"/>
      <c r="B301" s="44"/>
      <c r="C301" s="45"/>
      <c r="D301" s="45"/>
      <c r="E301" s="44"/>
      <c r="F301" s="44"/>
      <c r="G301" s="44"/>
      <c r="H301" s="44"/>
      <c r="I301" s="44"/>
      <c r="J301" s="44"/>
      <c r="K301" s="44"/>
      <c r="L301" s="44"/>
      <c r="M301" s="44"/>
      <c r="N301" s="44"/>
      <c r="O301" s="46"/>
      <c r="P301" s="44"/>
      <c r="Q301" s="46"/>
      <c r="R301" s="44"/>
      <c r="S301" s="45"/>
      <c r="T301" s="44"/>
      <c r="U301" s="44"/>
      <c r="V301" s="47"/>
      <c r="W301" s="48" t="str">
        <f aca="false">IF(V301="","",IFERROR(V301/O301,""))</f>
        <v/>
      </c>
      <c r="X301" s="44"/>
      <c r="Y301" s="46"/>
      <c r="Z301" s="49"/>
      <c r="AA301" s="44"/>
      <c r="AB301" s="50" t="str">
        <f aca="false">IFERROR(INDEX(TABLA_IVA!$C$3:$C$6,MATCH(AA301,TABLA_IVA!$A$3:$A$6,0)),"")</f>
        <v/>
      </c>
      <c r="AC301" s="47"/>
      <c r="AD301" s="44"/>
      <c r="AE301" s="51"/>
      <c r="AF301" s="52" t="str">
        <f aca="false">IF(OR(AC301="",AE301="",AB301=""),"",IFERROR(AC301/(1-AE301)*(1+AB301),""))</f>
        <v/>
      </c>
      <c r="AG301" s="47"/>
      <c r="AH301" s="52" t="str">
        <f aca="false">IF(AD301="FIJO",IF(AG301="","",AG301),IF(AF301&lt;&gt;"",AF301,IF(AG301="","",AG301)))</f>
        <v/>
      </c>
      <c r="AI301" s="52" t="str">
        <f aca="false">IF(OR(AH301="",AB301=""),"",IFERROR(AH301/(1+AB301),""))</f>
        <v/>
      </c>
      <c r="AJ301" s="50" t="str">
        <f aca="false">IF(OR(AI301="",AC301=""),"",IFERROR((AI301-AC301)/AI301,""))</f>
        <v/>
      </c>
      <c r="AK301" s="53" t="str">
        <f aca="false">IF(OR(AJ301="",AE301=""),"",AJ301-AE301)</f>
        <v/>
      </c>
      <c r="AL301" s="54" t="str">
        <f aca="false">IF(OR(AH301="",AF301=""),"",AH301-AF301)</f>
        <v/>
      </c>
      <c r="AM301" s="55" t="str">
        <f aca="false">IF(OR(A301="",K301&lt;&gt;"SI"),"",IF(AE301="","Sin objetivo",IF(AJ301="","Faltan datos",IF(AJ301&lt;0,"PÉRDIDA",IF(AK301&lt;-UMB_CRITICO,"MUY POR DEBAJO",IF(AK301&lt;-UMB_BAJO,"POR DEBAJO",IF(AK301&lt;-UMB_AJUSTADO,"AJUSTADO",IF(AK301&lt;=UMB_ALTO,"EN OBJETIVO","POR ENCIMA"))))))))</f>
        <v/>
      </c>
      <c r="AN301" s="44"/>
      <c r="AO301" s="44"/>
      <c r="AP301" s="46"/>
      <c r="AQ301" s="46"/>
      <c r="AR301" s="46"/>
      <c r="AS301" s="44"/>
      <c r="AT301" s="44"/>
      <c r="AU301" s="44"/>
      <c r="AV301" s="44"/>
      <c r="AW301" s="44"/>
      <c r="AX301" s="45"/>
      <c r="AY301" s="44"/>
      <c r="AZ301" s="56"/>
      <c r="BA301" s="45"/>
    </row>
    <row r="302" customFormat="false" ht="15" hidden="false" customHeight="false" outlineLevel="0" collapsed="false">
      <c r="A302" s="44"/>
      <c r="B302" s="44"/>
      <c r="C302" s="45"/>
      <c r="D302" s="45"/>
      <c r="E302" s="44"/>
      <c r="F302" s="44"/>
      <c r="G302" s="44"/>
      <c r="H302" s="44"/>
      <c r="I302" s="44"/>
      <c r="J302" s="44"/>
      <c r="K302" s="44"/>
      <c r="L302" s="44"/>
      <c r="M302" s="44"/>
      <c r="N302" s="44"/>
      <c r="O302" s="46"/>
      <c r="P302" s="44"/>
      <c r="Q302" s="46"/>
      <c r="R302" s="44"/>
      <c r="S302" s="45"/>
      <c r="T302" s="44"/>
      <c r="U302" s="44"/>
      <c r="V302" s="47"/>
      <c r="W302" s="48" t="str">
        <f aca="false">IF(V302="","",IFERROR(V302/O302,""))</f>
        <v/>
      </c>
      <c r="X302" s="44"/>
      <c r="Y302" s="46"/>
      <c r="Z302" s="49"/>
      <c r="AA302" s="44"/>
      <c r="AB302" s="50" t="str">
        <f aca="false">IFERROR(INDEX(TABLA_IVA!$C$3:$C$6,MATCH(AA302,TABLA_IVA!$A$3:$A$6,0)),"")</f>
        <v/>
      </c>
      <c r="AC302" s="47"/>
      <c r="AD302" s="44"/>
      <c r="AE302" s="51"/>
      <c r="AF302" s="52" t="str">
        <f aca="false">IF(OR(AC302="",AE302="",AB302=""),"",IFERROR(AC302/(1-AE302)*(1+AB302),""))</f>
        <v/>
      </c>
      <c r="AG302" s="47"/>
      <c r="AH302" s="52" t="str">
        <f aca="false">IF(AD302="FIJO",IF(AG302="","",AG302),IF(AF302&lt;&gt;"",AF302,IF(AG302="","",AG302)))</f>
        <v/>
      </c>
      <c r="AI302" s="52" t="str">
        <f aca="false">IF(OR(AH302="",AB302=""),"",IFERROR(AH302/(1+AB302),""))</f>
        <v/>
      </c>
      <c r="AJ302" s="50" t="str">
        <f aca="false">IF(OR(AI302="",AC302=""),"",IFERROR((AI302-AC302)/AI302,""))</f>
        <v/>
      </c>
      <c r="AK302" s="53" t="str">
        <f aca="false">IF(OR(AJ302="",AE302=""),"",AJ302-AE302)</f>
        <v/>
      </c>
      <c r="AL302" s="54" t="str">
        <f aca="false">IF(OR(AH302="",AF302=""),"",AH302-AF302)</f>
        <v/>
      </c>
      <c r="AM302" s="55" t="str">
        <f aca="false">IF(OR(A302="",K302&lt;&gt;"SI"),"",IF(AE302="","Sin objetivo",IF(AJ302="","Faltan datos",IF(AJ302&lt;0,"PÉRDIDA",IF(AK302&lt;-UMB_CRITICO,"MUY POR DEBAJO",IF(AK302&lt;-UMB_BAJO,"POR DEBAJO",IF(AK302&lt;-UMB_AJUSTADO,"AJUSTADO",IF(AK302&lt;=UMB_ALTO,"EN OBJETIVO","POR ENCIMA"))))))))</f>
        <v/>
      </c>
      <c r="AN302" s="44"/>
      <c r="AO302" s="44"/>
      <c r="AP302" s="46"/>
      <c r="AQ302" s="46"/>
      <c r="AR302" s="46"/>
      <c r="AS302" s="44"/>
      <c r="AT302" s="44"/>
      <c r="AU302" s="44"/>
      <c r="AV302" s="44"/>
      <c r="AW302" s="44"/>
      <c r="AX302" s="45"/>
      <c r="AY302" s="44"/>
      <c r="AZ302" s="56"/>
      <c r="BA302" s="45"/>
    </row>
    <row r="303" customFormat="false" ht="15" hidden="false" customHeight="false" outlineLevel="0" collapsed="false">
      <c r="A303" s="44"/>
      <c r="B303" s="44"/>
      <c r="C303" s="45"/>
      <c r="D303" s="45"/>
      <c r="E303" s="44"/>
      <c r="F303" s="44"/>
      <c r="G303" s="44"/>
      <c r="H303" s="44"/>
      <c r="I303" s="44"/>
      <c r="J303" s="44"/>
      <c r="K303" s="44"/>
      <c r="L303" s="44"/>
      <c r="M303" s="44"/>
      <c r="N303" s="44"/>
      <c r="O303" s="46"/>
      <c r="P303" s="44"/>
      <c r="Q303" s="46"/>
      <c r="R303" s="44"/>
      <c r="S303" s="45"/>
      <c r="T303" s="44"/>
      <c r="U303" s="44"/>
      <c r="V303" s="47"/>
      <c r="W303" s="48" t="str">
        <f aca="false">IF(V303="","",IFERROR(V303/O303,""))</f>
        <v/>
      </c>
      <c r="X303" s="44"/>
      <c r="Y303" s="46"/>
      <c r="Z303" s="49"/>
      <c r="AA303" s="44"/>
      <c r="AB303" s="50" t="str">
        <f aca="false">IFERROR(INDEX(TABLA_IVA!$C$3:$C$6,MATCH(AA303,TABLA_IVA!$A$3:$A$6,0)),"")</f>
        <v/>
      </c>
      <c r="AC303" s="47"/>
      <c r="AD303" s="44"/>
      <c r="AE303" s="51"/>
      <c r="AF303" s="52" t="str">
        <f aca="false">IF(OR(AC303="",AE303="",AB303=""),"",IFERROR(AC303/(1-AE303)*(1+AB303),""))</f>
        <v/>
      </c>
      <c r="AG303" s="47"/>
      <c r="AH303" s="52" t="str">
        <f aca="false">IF(AD303="FIJO",IF(AG303="","",AG303),IF(AF303&lt;&gt;"",AF303,IF(AG303="","",AG303)))</f>
        <v/>
      </c>
      <c r="AI303" s="52" t="str">
        <f aca="false">IF(OR(AH303="",AB303=""),"",IFERROR(AH303/(1+AB303),""))</f>
        <v/>
      </c>
      <c r="AJ303" s="50" t="str">
        <f aca="false">IF(OR(AI303="",AC303=""),"",IFERROR((AI303-AC303)/AI303,""))</f>
        <v/>
      </c>
      <c r="AK303" s="53" t="str">
        <f aca="false">IF(OR(AJ303="",AE303=""),"",AJ303-AE303)</f>
        <v/>
      </c>
      <c r="AL303" s="54" t="str">
        <f aca="false">IF(OR(AH303="",AF303=""),"",AH303-AF303)</f>
        <v/>
      </c>
      <c r="AM303" s="55" t="str">
        <f aca="false">IF(OR(A303="",K303&lt;&gt;"SI"),"",IF(AE303="","Sin objetivo",IF(AJ303="","Faltan datos",IF(AJ303&lt;0,"PÉRDIDA",IF(AK303&lt;-UMB_CRITICO,"MUY POR DEBAJO",IF(AK303&lt;-UMB_BAJO,"POR DEBAJO",IF(AK303&lt;-UMB_AJUSTADO,"AJUSTADO",IF(AK303&lt;=UMB_ALTO,"EN OBJETIVO","POR ENCIMA"))))))))</f>
        <v/>
      </c>
      <c r="AN303" s="44"/>
      <c r="AO303" s="44"/>
      <c r="AP303" s="46"/>
      <c r="AQ303" s="46"/>
      <c r="AR303" s="46"/>
      <c r="AS303" s="44"/>
      <c r="AT303" s="44"/>
      <c r="AU303" s="44"/>
      <c r="AV303" s="44"/>
      <c r="AW303" s="44"/>
      <c r="AX303" s="45"/>
      <c r="AY303" s="44"/>
      <c r="AZ303" s="56"/>
      <c r="BA303" s="45"/>
    </row>
    <row r="304" customFormat="false" ht="15" hidden="false" customHeight="false" outlineLevel="0" collapsed="false">
      <c r="A304" s="44"/>
      <c r="B304" s="44"/>
      <c r="C304" s="45"/>
      <c r="D304" s="45"/>
      <c r="E304" s="44"/>
      <c r="F304" s="44"/>
      <c r="G304" s="44"/>
      <c r="H304" s="44"/>
      <c r="I304" s="44"/>
      <c r="J304" s="44"/>
      <c r="K304" s="44"/>
      <c r="L304" s="44"/>
      <c r="M304" s="44"/>
      <c r="N304" s="44"/>
      <c r="O304" s="46"/>
      <c r="P304" s="44"/>
      <c r="Q304" s="46"/>
      <c r="R304" s="44"/>
      <c r="S304" s="45"/>
      <c r="T304" s="44"/>
      <c r="U304" s="44"/>
      <c r="V304" s="47"/>
      <c r="W304" s="48" t="str">
        <f aca="false">IF(V304="","",IFERROR(V304/O304,""))</f>
        <v/>
      </c>
      <c r="X304" s="44"/>
      <c r="Y304" s="46"/>
      <c r="Z304" s="49"/>
      <c r="AA304" s="44"/>
      <c r="AB304" s="50" t="str">
        <f aca="false">IFERROR(INDEX(TABLA_IVA!$C$3:$C$6,MATCH(AA304,TABLA_IVA!$A$3:$A$6,0)),"")</f>
        <v/>
      </c>
      <c r="AC304" s="47"/>
      <c r="AD304" s="44"/>
      <c r="AE304" s="51"/>
      <c r="AF304" s="52" t="str">
        <f aca="false">IF(OR(AC304="",AE304="",AB304=""),"",IFERROR(AC304/(1-AE304)*(1+AB304),""))</f>
        <v/>
      </c>
      <c r="AG304" s="47"/>
      <c r="AH304" s="52" t="str">
        <f aca="false">IF(AD304="FIJO",IF(AG304="","",AG304),IF(AF304&lt;&gt;"",AF304,IF(AG304="","",AG304)))</f>
        <v/>
      </c>
      <c r="AI304" s="52" t="str">
        <f aca="false">IF(OR(AH304="",AB304=""),"",IFERROR(AH304/(1+AB304),""))</f>
        <v/>
      </c>
      <c r="AJ304" s="50" t="str">
        <f aca="false">IF(OR(AI304="",AC304=""),"",IFERROR((AI304-AC304)/AI304,""))</f>
        <v/>
      </c>
      <c r="AK304" s="53" t="str">
        <f aca="false">IF(OR(AJ304="",AE304=""),"",AJ304-AE304)</f>
        <v/>
      </c>
      <c r="AL304" s="54" t="str">
        <f aca="false">IF(OR(AH304="",AF304=""),"",AH304-AF304)</f>
        <v/>
      </c>
      <c r="AM304" s="55" t="str">
        <f aca="false">IF(OR(A304="",K304&lt;&gt;"SI"),"",IF(AE304="","Sin objetivo",IF(AJ304="","Faltan datos",IF(AJ304&lt;0,"PÉRDIDA",IF(AK304&lt;-UMB_CRITICO,"MUY POR DEBAJO",IF(AK304&lt;-UMB_BAJO,"POR DEBAJO",IF(AK304&lt;-UMB_AJUSTADO,"AJUSTADO",IF(AK304&lt;=UMB_ALTO,"EN OBJETIVO","POR ENCIMA"))))))))</f>
        <v/>
      </c>
      <c r="AN304" s="44"/>
      <c r="AO304" s="44"/>
      <c r="AP304" s="46"/>
      <c r="AQ304" s="46"/>
      <c r="AR304" s="46"/>
      <c r="AS304" s="44"/>
      <c r="AT304" s="44"/>
      <c r="AU304" s="44"/>
      <c r="AV304" s="44"/>
      <c r="AW304" s="44"/>
      <c r="AX304" s="45"/>
      <c r="AY304" s="44"/>
      <c r="AZ304" s="56"/>
      <c r="BA304" s="45"/>
    </row>
    <row r="305" customFormat="false" ht="15" hidden="false" customHeight="false" outlineLevel="0" collapsed="false">
      <c r="A305" s="44"/>
      <c r="B305" s="44"/>
      <c r="C305" s="45"/>
      <c r="D305" s="45"/>
      <c r="E305" s="44"/>
      <c r="F305" s="44"/>
      <c r="G305" s="44"/>
      <c r="H305" s="44"/>
      <c r="I305" s="44"/>
      <c r="J305" s="44"/>
      <c r="K305" s="44"/>
      <c r="L305" s="44"/>
      <c r="M305" s="44"/>
      <c r="N305" s="44"/>
      <c r="O305" s="46"/>
      <c r="P305" s="44"/>
      <c r="Q305" s="46"/>
      <c r="R305" s="44"/>
      <c r="S305" s="45"/>
      <c r="T305" s="44"/>
      <c r="U305" s="44"/>
      <c r="V305" s="47"/>
      <c r="W305" s="48" t="str">
        <f aca="false">IF(V305="","",IFERROR(V305/O305,""))</f>
        <v/>
      </c>
      <c r="X305" s="44"/>
      <c r="Y305" s="46"/>
      <c r="Z305" s="49"/>
      <c r="AA305" s="44"/>
      <c r="AB305" s="50" t="str">
        <f aca="false">IFERROR(INDEX(TABLA_IVA!$C$3:$C$6,MATCH(AA305,TABLA_IVA!$A$3:$A$6,0)),"")</f>
        <v/>
      </c>
      <c r="AC305" s="47"/>
      <c r="AD305" s="44"/>
      <c r="AE305" s="51"/>
      <c r="AF305" s="52" t="str">
        <f aca="false">IF(OR(AC305="",AE305="",AB305=""),"",IFERROR(AC305/(1-AE305)*(1+AB305),""))</f>
        <v/>
      </c>
      <c r="AG305" s="47"/>
      <c r="AH305" s="52" t="str">
        <f aca="false">IF(AD305="FIJO",IF(AG305="","",AG305),IF(AF305&lt;&gt;"",AF305,IF(AG305="","",AG305)))</f>
        <v/>
      </c>
      <c r="AI305" s="52" t="str">
        <f aca="false">IF(OR(AH305="",AB305=""),"",IFERROR(AH305/(1+AB305),""))</f>
        <v/>
      </c>
      <c r="AJ305" s="50" t="str">
        <f aca="false">IF(OR(AI305="",AC305=""),"",IFERROR((AI305-AC305)/AI305,""))</f>
        <v/>
      </c>
      <c r="AK305" s="53" t="str">
        <f aca="false">IF(OR(AJ305="",AE305=""),"",AJ305-AE305)</f>
        <v/>
      </c>
      <c r="AL305" s="54" t="str">
        <f aca="false">IF(OR(AH305="",AF305=""),"",AH305-AF305)</f>
        <v/>
      </c>
      <c r="AM305" s="55" t="str">
        <f aca="false">IF(OR(A305="",K305&lt;&gt;"SI"),"",IF(AE305="","Sin objetivo",IF(AJ305="","Faltan datos",IF(AJ305&lt;0,"PÉRDIDA",IF(AK305&lt;-UMB_CRITICO,"MUY POR DEBAJO",IF(AK305&lt;-UMB_BAJO,"POR DEBAJO",IF(AK305&lt;-UMB_AJUSTADO,"AJUSTADO",IF(AK305&lt;=UMB_ALTO,"EN OBJETIVO","POR ENCIMA"))))))))</f>
        <v/>
      </c>
      <c r="AN305" s="44"/>
      <c r="AO305" s="44"/>
      <c r="AP305" s="46"/>
      <c r="AQ305" s="46"/>
      <c r="AR305" s="46"/>
      <c r="AS305" s="44"/>
      <c r="AT305" s="44"/>
      <c r="AU305" s="44"/>
      <c r="AV305" s="44"/>
      <c r="AW305" s="44"/>
      <c r="AX305" s="45"/>
      <c r="AY305" s="44"/>
      <c r="AZ305" s="56"/>
      <c r="BA305" s="45"/>
    </row>
    <row r="306" customFormat="false" ht="15" hidden="false" customHeight="false" outlineLevel="0" collapsed="false">
      <c r="A306" s="44"/>
      <c r="B306" s="44"/>
      <c r="C306" s="45"/>
      <c r="D306" s="45"/>
      <c r="E306" s="44"/>
      <c r="F306" s="44"/>
      <c r="G306" s="44"/>
      <c r="H306" s="44"/>
      <c r="I306" s="44"/>
      <c r="J306" s="44"/>
      <c r="K306" s="44"/>
      <c r="L306" s="44"/>
      <c r="M306" s="44"/>
      <c r="N306" s="44"/>
      <c r="O306" s="46"/>
      <c r="P306" s="44"/>
      <c r="Q306" s="46"/>
      <c r="R306" s="44"/>
      <c r="S306" s="45"/>
      <c r="T306" s="44"/>
      <c r="U306" s="44"/>
      <c r="V306" s="47"/>
      <c r="W306" s="48" t="str">
        <f aca="false">IF(V306="","",IFERROR(V306/O306,""))</f>
        <v/>
      </c>
      <c r="X306" s="44"/>
      <c r="Y306" s="46"/>
      <c r="Z306" s="49"/>
      <c r="AA306" s="44"/>
      <c r="AB306" s="50" t="str">
        <f aca="false">IFERROR(INDEX(TABLA_IVA!$C$3:$C$6,MATCH(AA306,TABLA_IVA!$A$3:$A$6,0)),"")</f>
        <v/>
      </c>
      <c r="AC306" s="47"/>
      <c r="AD306" s="44"/>
      <c r="AE306" s="51"/>
      <c r="AF306" s="52" t="str">
        <f aca="false">IF(OR(AC306="",AE306="",AB306=""),"",IFERROR(AC306/(1-AE306)*(1+AB306),""))</f>
        <v/>
      </c>
      <c r="AG306" s="47"/>
      <c r="AH306" s="52" t="str">
        <f aca="false">IF(AD306="FIJO",IF(AG306="","",AG306),IF(AF306&lt;&gt;"",AF306,IF(AG306="","",AG306)))</f>
        <v/>
      </c>
      <c r="AI306" s="52" t="str">
        <f aca="false">IF(OR(AH306="",AB306=""),"",IFERROR(AH306/(1+AB306),""))</f>
        <v/>
      </c>
      <c r="AJ306" s="50" t="str">
        <f aca="false">IF(OR(AI306="",AC306=""),"",IFERROR((AI306-AC306)/AI306,""))</f>
        <v/>
      </c>
      <c r="AK306" s="53" t="str">
        <f aca="false">IF(OR(AJ306="",AE306=""),"",AJ306-AE306)</f>
        <v/>
      </c>
      <c r="AL306" s="54" t="str">
        <f aca="false">IF(OR(AH306="",AF306=""),"",AH306-AF306)</f>
        <v/>
      </c>
      <c r="AM306" s="55" t="str">
        <f aca="false">IF(OR(A306="",K306&lt;&gt;"SI"),"",IF(AE306="","Sin objetivo",IF(AJ306="","Faltan datos",IF(AJ306&lt;0,"PÉRDIDA",IF(AK306&lt;-UMB_CRITICO,"MUY POR DEBAJO",IF(AK306&lt;-UMB_BAJO,"POR DEBAJO",IF(AK306&lt;-UMB_AJUSTADO,"AJUSTADO",IF(AK306&lt;=UMB_ALTO,"EN OBJETIVO","POR ENCIMA"))))))))</f>
        <v/>
      </c>
      <c r="AN306" s="44"/>
      <c r="AO306" s="44"/>
      <c r="AP306" s="46"/>
      <c r="AQ306" s="46"/>
      <c r="AR306" s="46"/>
      <c r="AS306" s="44"/>
      <c r="AT306" s="44"/>
      <c r="AU306" s="44"/>
      <c r="AV306" s="44"/>
      <c r="AW306" s="44"/>
      <c r="AX306" s="45"/>
      <c r="AY306" s="44"/>
      <c r="AZ306" s="56"/>
      <c r="BA306" s="45"/>
    </row>
    <row r="307" customFormat="false" ht="15" hidden="false" customHeight="false" outlineLevel="0" collapsed="false">
      <c r="A307" s="44"/>
      <c r="B307" s="44"/>
      <c r="C307" s="45"/>
      <c r="D307" s="45"/>
      <c r="E307" s="44"/>
      <c r="F307" s="44"/>
      <c r="G307" s="44"/>
      <c r="H307" s="44"/>
      <c r="I307" s="44"/>
      <c r="J307" s="44"/>
      <c r="K307" s="44"/>
      <c r="L307" s="44"/>
      <c r="M307" s="44"/>
      <c r="N307" s="44"/>
      <c r="O307" s="46"/>
      <c r="P307" s="44"/>
      <c r="Q307" s="46"/>
      <c r="R307" s="44"/>
      <c r="S307" s="45"/>
      <c r="T307" s="44"/>
      <c r="U307" s="44"/>
      <c r="V307" s="47"/>
      <c r="W307" s="48" t="str">
        <f aca="false">IF(V307="","",IFERROR(V307/O307,""))</f>
        <v/>
      </c>
      <c r="X307" s="44"/>
      <c r="Y307" s="46"/>
      <c r="Z307" s="49"/>
      <c r="AA307" s="44"/>
      <c r="AB307" s="50" t="str">
        <f aca="false">IFERROR(INDEX(TABLA_IVA!$C$3:$C$6,MATCH(AA307,TABLA_IVA!$A$3:$A$6,0)),"")</f>
        <v/>
      </c>
      <c r="AC307" s="47"/>
      <c r="AD307" s="44"/>
      <c r="AE307" s="51"/>
      <c r="AF307" s="52" t="str">
        <f aca="false">IF(OR(AC307="",AE307="",AB307=""),"",IFERROR(AC307/(1-AE307)*(1+AB307),""))</f>
        <v/>
      </c>
      <c r="AG307" s="47"/>
      <c r="AH307" s="52" t="str">
        <f aca="false">IF(AD307="FIJO",IF(AG307="","",AG307),IF(AF307&lt;&gt;"",AF307,IF(AG307="","",AG307)))</f>
        <v/>
      </c>
      <c r="AI307" s="52" t="str">
        <f aca="false">IF(OR(AH307="",AB307=""),"",IFERROR(AH307/(1+AB307),""))</f>
        <v/>
      </c>
      <c r="AJ307" s="50" t="str">
        <f aca="false">IF(OR(AI307="",AC307=""),"",IFERROR((AI307-AC307)/AI307,""))</f>
        <v/>
      </c>
      <c r="AK307" s="53" t="str">
        <f aca="false">IF(OR(AJ307="",AE307=""),"",AJ307-AE307)</f>
        <v/>
      </c>
      <c r="AL307" s="54" t="str">
        <f aca="false">IF(OR(AH307="",AF307=""),"",AH307-AF307)</f>
        <v/>
      </c>
      <c r="AM307" s="55" t="str">
        <f aca="false">IF(OR(A307="",K307&lt;&gt;"SI"),"",IF(AE307="","Sin objetivo",IF(AJ307="","Faltan datos",IF(AJ307&lt;0,"PÉRDIDA",IF(AK307&lt;-UMB_CRITICO,"MUY POR DEBAJO",IF(AK307&lt;-UMB_BAJO,"POR DEBAJO",IF(AK307&lt;-UMB_AJUSTADO,"AJUSTADO",IF(AK307&lt;=UMB_ALTO,"EN OBJETIVO","POR ENCIMA"))))))))</f>
        <v/>
      </c>
      <c r="AN307" s="44"/>
      <c r="AO307" s="44"/>
      <c r="AP307" s="46"/>
      <c r="AQ307" s="46"/>
      <c r="AR307" s="46"/>
      <c r="AS307" s="44"/>
      <c r="AT307" s="44"/>
      <c r="AU307" s="44"/>
      <c r="AV307" s="44"/>
      <c r="AW307" s="44"/>
      <c r="AX307" s="45"/>
      <c r="AY307" s="44"/>
      <c r="AZ307" s="56"/>
      <c r="BA307" s="45"/>
    </row>
    <row r="308" customFormat="false" ht="15" hidden="false" customHeight="false" outlineLevel="0" collapsed="false">
      <c r="A308" s="44"/>
      <c r="B308" s="44"/>
      <c r="C308" s="45"/>
      <c r="D308" s="45"/>
      <c r="E308" s="44"/>
      <c r="F308" s="44"/>
      <c r="G308" s="44"/>
      <c r="H308" s="44"/>
      <c r="I308" s="44"/>
      <c r="J308" s="44"/>
      <c r="K308" s="44"/>
      <c r="L308" s="44"/>
      <c r="M308" s="44"/>
      <c r="N308" s="44"/>
      <c r="O308" s="46"/>
      <c r="P308" s="44"/>
      <c r="Q308" s="46"/>
      <c r="R308" s="44"/>
      <c r="S308" s="45"/>
      <c r="T308" s="44"/>
      <c r="U308" s="44"/>
      <c r="V308" s="47"/>
      <c r="W308" s="48" t="str">
        <f aca="false">IF(V308="","",IFERROR(V308/O308,""))</f>
        <v/>
      </c>
      <c r="X308" s="44"/>
      <c r="Y308" s="46"/>
      <c r="Z308" s="49"/>
      <c r="AA308" s="44"/>
      <c r="AB308" s="50" t="str">
        <f aca="false">IFERROR(INDEX(TABLA_IVA!$C$3:$C$6,MATCH(AA308,TABLA_IVA!$A$3:$A$6,0)),"")</f>
        <v/>
      </c>
      <c r="AC308" s="47"/>
      <c r="AD308" s="44"/>
      <c r="AE308" s="51"/>
      <c r="AF308" s="52" t="str">
        <f aca="false">IF(OR(AC308="",AE308="",AB308=""),"",IFERROR(AC308/(1-AE308)*(1+AB308),""))</f>
        <v/>
      </c>
      <c r="AG308" s="47"/>
      <c r="AH308" s="52" t="str">
        <f aca="false">IF(AD308="FIJO",IF(AG308="","",AG308),IF(AF308&lt;&gt;"",AF308,IF(AG308="","",AG308)))</f>
        <v/>
      </c>
      <c r="AI308" s="52" t="str">
        <f aca="false">IF(OR(AH308="",AB308=""),"",IFERROR(AH308/(1+AB308),""))</f>
        <v/>
      </c>
      <c r="AJ308" s="50" t="str">
        <f aca="false">IF(OR(AI308="",AC308=""),"",IFERROR((AI308-AC308)/AI308,""))</f>
        <v/>
      </c>
      <c r="AK308" s="53" t="str">
        <f aca="false">IF(OR(AJ308="",AE308=""),"",AJ308-AE308)</f>
        <v/>
      </c>
      <c r="AL308" s="54" t="str">
        <f aca="false">IF(OR(AH308="",AF308=""),"",AH308-AF308)</f>
        <v/>
      </c>
      <c r="AM308" s="55" t="str">
        <f aca="false">IF(OR(A308="",K308&lt;&gt;"SI"),"",IF(AE308="","Sin objetivo",IF(AJ308="","Faltan datos",IF(AJ308&lt;0,"PÉRDIDA",IF(AK308&lt;-UMB_CRITICO,"MUY POR DEBAJO",IF(AK308&lt;-UMB_BAJO,"POR DEBAJO",IF(AK308&lt;-UMB_AJUSTADO,"AJUSTADO",IF(AK308&lt;=UMB_ALTO,"EN OBJETIVO","POR ENCIMA"))))))))</f>
        <v/>
      </c>
      <c r="AN308" s="44"/>
      <c r="AO308" s="44"/>
      <c r="AP308" s="46"/>
      <c r="AQ308" s="46"/>
      <c r="AR308" s="46"/>
      <c r="AS308" s="44"/>
      <c r="AT308" s="44"/>
      <c r="AU308" s="44"/>
      <c r="AV308" s="44"/>
      <c r="AW308" s="44"/>
      <c r="AX308" s="45"/>
      <c r="AY308" s="44"/>
      <c r="AZ308" s="56"/>
      <c r="BA308" s="45"/>
    </row>
    <row r="309" customFormat="false" ht="15" hidden="false" customHeight="false" outlineLevel="0" collapsed="false">
      <c r="A309" s="44"/>
      <c r="B309" s="44"/>
      <c r="C309" s="45"/>
      <c r="D309" s="45"/>
      <c r="E309" s="44"/>
      <c r="F309" s="44"/>
      <c r="G309" s="44"/>
      <c r="H309" s="44"/>
      <c r="I309" s="44"/>
      <c r="J309" s="44"/>
      <c r="K309" s="44"/>
      <c r="L309" s="44"/>
      <c r="M309" s="44"/>
      <c r="N309" s="44"/>
      <c r="O309" s="46"/>
      <c r="P309" s="44"/>
      <c r="Q309" s="46"/>
      <c r="R309" s="44"/>
      <c r="S309" s="45"/>
      <c r="T309" s="44"/>
      <c r="U309" s="44"/>
      <c r="V309" s="47"/>
      <c r="W309" s="48" t="str">
        <f aca="false">IF(V309="","",IFERROR(V309/O309,""))</f>
        <v/>
      </c>
      <c r="X309" s="44"/>
      <c r="Y309" s="46"/>
      <c r="Z309" s="49"/>
      <c r="AA309" s="44"/>
      <c r="AB309" s="50" t="str">
        <f aca="false">IFERROR(INDEX(TABLA_IVA!$C$3:$C$6,MATCH(AA309,TABLA_IVA!$A$3:$A$6,0)),"")</f>
        <v/>
      </c>
      <c r="AC309" s="47"/>
      <c r="AD309" s="44"/>
      <c r="AE309" s="51"/>
      <c r="AF309" s="52" t="str">
        <f aca="false">IF(OR(AC309="",AE309="",AB309=""),"",IFERROR(AC309/(1-AE309)*(1+AB309),""))</f>
        <v/>
      </c>
      <c r="AG309" s="47"/>
      <c r="AH309" s="52" t="str">
        <f aca="false">IF(AD309="FIJO",IF(AG309="","",AG309),IF(AF309&lt;&gt;"",AF309,IF(AG309="","",AG309)))</f>
        <v/>
      </c>
      <c r="AI309" s="52" t="str">
        <f aca="false">IF(OR(AH309="",AB309=""),"",IFERROR(AH309/(1+AB309),""))</f>
        <v/>
      </c>
      <c r="AJ309" s="50" t="str">
        <f aca="false">IF(OR(AI309="",AC309=""),"",IFERROR((AI309-AC309)/AI309,""))</f>
        <v/>
      </c>
      <c r="AK309" s="53" t="str">
        <f aca="false">IF(OR(AJ309="",AE309=""),"",AJ309-AE309)</f>
        <v/>
      </c>
      <c r="AL309" s="54" t="str">
        <f aca="false">IF(OR(AH309="",AF309=""),"",AH309-AF309)</f>
        <v/>
      </c>
      <c r="AM309" s="55" t="str">
        <f aca="false">IF(OR(A309="",K309&lt;&gt;"SI"),"",IF(AE309="","Sin objetivo",IF(AJ309="","Faltan datos",IF(AJ309&lt;0,"PÉRDIDA",IF(AK309&lt;-UMB_CRITICO,"MUY POR DEBAJO",IF(AK309&lt;-UMB_BAJO,"POR DEBAJO",IF(AK309&lt;-UMB_AJUSTADO,"AJUSTADO",IF(AK309&lt;=UMB_ALTO,"EN OBJETIVO","POR ENCIMA"))))))))</f>
        <v/>
      </c>
      <c r="AN309" s="44"/>
      <c r="AO309" s="44"/>
      <c r="AP309" s="46"/>
      <c r="AQ309" s="46"/>
      <c r="AR309" s="46"/>
      <c r="AS309" s="44"/>
      <c r="AT309" s="44"/>
      <c r="AU309" s="44"/>
      <c r="AV309" s="44"/>
      <c r="AW309" s="44"/>
      <c r="AX309" s="45"/>
      <c r="AY309" s="44"/>
      <c r="AZ309" s="56"/>
      <c r="BA309" s="45"/>
    </row>
    <row r="310" customFormat="false" ht="15" hidden="false" customHeight="false" outlineLevel="0" collapsed="false">
      <c r="A310" s="44"/>
      <c r="B310" s="44"/>
      <c r="C310" s="45"/>
      <c r="D310" s="45"/>
      <c r="E310" s="44"/>
      <c r="F310" s="44"/>
      <c r="G310" s="44"/>
      <c r="H310" s="44"/>
      <c r="I310" s="44"/>
      <c r="J310" s="44"/>
      <c r="K310" s="44"/>
      <c r="L310" s="44"/>
      <c r="M310" s="44"/>
      <c r="N310" s="44"/>
      <c r="O310" s="46"/>
      <c r="P310" s="44"/>
      <c r="Q310" s="46"/>
      <c r="R310" s="44"/>
      <c r="S310" s="45"/>
      <c r="T310" s="44"/>
      <c r="U310" s="44"/>
      <c r="V310" s="47"/>
      <c r="W310" s="48" t="str">
        <f aca="false">IF(V310="","",IFERROR(V310/O310,""))</f>
        <v/>
      </c>
      <c r="X310" s="44"/>
      <c r="Y310" s="46"/>
      <c r="Z310" s="49"/>
      <c r="AA310" s="44"/>
      <c r="AB310" s="50" t="str">
        <f aca="false">IFERROR(INDEX(TABLA_IVA!$C$3:$C$6,MATCH(AA310,TABLA_IVA!$A$3:$A$6,0)),"")</f>
        <v/>
      </c>
      <c r="AC310" s="47"/>
      <c r="AD310" s="44"/>
      <c r="AE310" s="51"/>
      <c r="AF310" s="52" t="str">
        <f aca="false">IF(OR(AC310="",AE310="",AB310=""),"",IFERROR(AC310/(1-AE310)*(1+AB310),""))</f>
        <v/>
      </c>
      <c r="AG310" s="47"/>
      <c r="AH310" s="52" t="str">
        <f aca="false">IF(AD310="FIJO",IF(AG310="","",AG310),IF(AF310&lt;&gt;"",AF310,IF(AG310="","",AG310)))</f>
        <v/>
      </c>
      <c r="AI310" s="52" t="str">
        <f aca="false">IF(OR(AH310="",AB310=""),"",IFERROR(AH310/(1+AB310),""))</f>
        <v/>
      </c>
      <c r="AJ310" s="50" t="str">
        <f aca="false">IF(OR(AI310="",AC310=""),"",IFERROR((AI310-AC310)/AI310,""))</f>
        <v/>
      </c>
      <c r="AK310" s="53" t="str">
        <f aca="false">IF(OR(AJ310="",AE310=""),"",AJ310-AE310)</f>
        <v/>
      </c>
      <c r="AL310" s="54" t="str">
        <f aca="false">IF(OR(AH310="",AF310=""),"",AH310-AF310)</f>
        <v/>
      </c>
      <c r="AM310" s="55" t="str">
        <f aca="false">IF(OR(A310="",K310&lt;&gt;"SI"),"",IF(AE310="","Sin objetivo",IF(AJ310="","Faltan datos",IF(AJ310&lt;0,"PÉRDIDA",IF(AK310&lt;-UMB_CRITICO,"MUY POR DEBAJO",IF(AK310&lt;-UMB_BAJO,"POR DEBAJO",IF(AK310&lt;-UMB_AJUSTADO,"AJUSTADO",IF(AK310&lt;=UMB_ALTO,"EN OBJETIVO","POR ENCIMA"))))))))</f>
        <v/>
      </c>
      <c r="AN310" s="44"/>
      <c r="AO310" s="44"/>
      <c r="AP310" s="46"/>
      <c r="AQ310" s="46"/>
      <c r="AR310" s="46"/>
      <c r="AS310" s="44"/>
      <c r="AT310" s="44"/>
      <c r="AU310" s="44"/>
      <c r="AV310" s="44"/>
      <c r="AW310" s="44"/>
      <c r="AX310" s="45"/>
      <c r="AY310" s="44"/>
      <c r="AZ310" s="56"/>
      <c r="BA310" s="45"/>
    </row>
    <row r="311" customFormat="false" ht="15" hidden="false" customHeight="false" outlineLevel="0" collapsed="false">
      <c r="A311" s="44"/>
      <c r="B311" s="44"/>
      <c r="C311" s="45"/>
      <c r="D311" s="45"/>
      <c r="E311" s="44"/>
      <c r="F311" s="44"/>
      <c r="G311" s="44"/>
      <c r="H311" s="44"/>
      <c r="I311" s="44"/>
      <c r="J311" s="44"/>
      <c r="K311" s="44"/>
      <c r="L311" s="44"/>
      <c r="M311" s="44"/>
      <c r="N311" s="44"/>
      <c r="O311" s="46"/>
      <c r="P311" s="44"/>
      <c r="Q311" s="46"/>
      <c r="R311" s="44"/>
      <c r="S311" s="45"/>
      <c r="T311" s="44"/>
      <c r="U311" s="44"/>
      <c r="V311" s="47"/>
      <c r="W311" s="48" t="str">
        <f aca="false">IF(V311="","",IFERROR(V311/O311,""))</f>
        <v/>
      </c>
      <c r="X311" s="44"/>
      <c r="Y311" s="46"/>
      <c r="Z311" s="49"/>
      <c r="AA311" s="44"/>
      <c r="AB311" s="50" t="str">
        <f aca="false">IFERROR(INDEX(TABLA_IVA!$C$3:$C$6,MATCH(AA311,TABLA_IVA!$A$3:$A$6,0)),"")</f>
        <v/>
      </c>
      <c r="AC311" s="47"/>
      <c r="AD311" s="44"/>
      <c r="AE311" s="51"/>
      <c r="AF311" s="52" t="str">
        <f aca="false">IF(OR(AC311="",AE311="",AB311=""),"",IFERROR(AC311/(1-AE311)*(1+AB311),""))</f>
        <v/>
      </c>
      <c r="AG311" s="47"/>
      <c r="AH311" s="52" t="str">
        <f aca="false">IF(AD311="FIJO",IF(AG311="","",AG311),IF(AF311&lt;&gt;"",AF311,IF(AG311="","",AG311)))</f>
        <v/>
      </c>
      <c r="AI311" s="52" t="str">
        <f aca="false">IF(OR(AH311="",AB311=""),"",IFERROR(AH311/(1+AB311),""))</f>
        <v/>
      </c>
      <c r="AJ311" s="50" t="str">
        <f aca="false">IF(OR(AI311="",AC311=""),"",IFERROR((AI311-AC311)/AI311,""))</f>
        <v/>
      </c>
      <c r="AK311" s="53" t="str">
        <f aca="false">IF(OR(AJ311="",AE311=""),"",AJ311-AE311)</f>
        <v/>
      </c>
      <c r="AL311" s="54" t="str">
        <f aca="false">IF(OR(AH311="",AF311=""),"",AH311-AF311)</f>
        <v/>
      </c>
      <c r="AM311" s="55" t="str">
        <f aca="false">IF(OR(A311="",K311&lt;&gt;"SI"),"",IF(AE311="","Sin objetivo",IF(AJ311="","Faltan datos",IF(AJ311&lt;0,"PÉRDIDA",IF(AK311&lt;-UMB_CRITICO,"MUY POR DEBAJO",IF(AK311&lt;-UMB_BAJO,"POR DEBAJO",IF(AK311&lt;-UMB_AJUSTADO,"AJUSTADO",IF(AK311&lt;=UMB_ALTO,"EN OBJETIVO","POR ENCIMA"))))))))</f>
        <v/>
      </c>
      <c r="AN311" s="44"/>
      <c r="AO311" s="44"/>
      <c r="AP311" s="46"/>
      <c r="AQ311" s="46"/>
      <c r="AR311" s="46"/>
      <c r="AS311" s="44"/>
      <c r="AT311" s="44"/>
      <c r="AU311" s="44"/>
      <c r="AV311" s="44"/>
      <c r="AW311" s="44"/>
      <c r="AX311" s="45"/>
      <c r="AY311" s="44"/>
      <c r="AZ311" s="56"/>
      <c r="BA311" s="45"/>
    </row>
    <row r="312" customFormat="false" ht="15" hidden="false" customHeight="false" outlineLevel="0" collapsed="false">
      <c r="A312" s="44"/>
      <c r="B312" s="44"/>
      <c r="C312" s="45"/>
      <c r="D312" s="45"/>
      <c r="E312" s="44"/>
      <c r="F312" s="44"/>
      <c r="G312" s="44"/>
      <c r="H312" s="44"/>
      <c r="I312" s="44"/>
      <c r="J312" s="44"/>
      <c r="K312" s="44"/>
      <c r="L312" s="44"/>
      <c r="M312" s="44"/>
      <c r="N312" s="44"/>
      <c r="O312" s="46"/>
      <c r="P312" s="44"/>
      <c r="Q312" s="46"/>
      <c r="R312" s="44"/>
      <c r="S312" s="45"/>
      <c r="T312" s="44"/>
      <c r="U312" s="44"/>
      <c r="V312" s="47"/>
      <c r="W312" s="48" t="str">
        <f aca="false">IF(V312="","",IFERROR(V312/O312,""))</f>
        <v/>
      </c>
      <c r="X312" s="44"/>
      <c r="Y312" s="46"/>
      <c r="Z312" s="49"/>
      <c r="AA312" s="44"/>
      <c r="AB312" s="50" t="str">
        <f aca="false">IFERROR(INDEX(TABLA_IVA!$C$3:$C$6,MATCH(AA312,TABLA_IVA!$A$3:$A$6,0)),"")</f>
        <v/>
      </c>
      <c r="AC312" s="47"/>
      <c r="AD312" s="44"/>
      <c r="AE312" s="51"/>
      <c r="AF312" s="52" t="str">
        <f aca="false">IF(OR(AC312="",AE312="",AB312=""),"",IFERROR(AC312/(1-AE312)*(1+AB312),""))</f>
        <v/>
      </c>
      <c r="AG312" s="47"/>
      <c r="AH312" s="52" t="str">
        <f aca="false">IF(AD312="FIJO",IF(AG312="","",AG312),IF(AF312&lt;&gt;"",AF312,IF(AG312="","",AG312)))</f>
        <v/>
      </c>
      <c r="AI312" s="52" t="str">
        <f aca="false">IF(OR(AH312="",AB312=""),"",IFERROR(AH312/(1+AB312),""))</f>
        <v/>
      </c>
      <c r="AJ312" s="50" t="str">
        <f aca="false">IF(OR(AI312="",AC312=""),"",IFERROR((AI312-AC312)/AI312,""))</f>
        <v/>
      </c>
      <c r="AK312" s="53" t="str">
        <f aca="false">IF(OR(AJ312="",AE312=""),"",AJ312-AE312)</f>
        <v/>
      </c>
      <c r="AL312" s="54" t="str">
        <f aca="false">IF(OR(AH312="",AF312=""),"",AH312-AF312)</f>
        <v/>
      </c>
      <c r="AM312" s="55" t="str">
        <f aca="false">IF(OR(A312="",K312&lt;&gt;"SI"),"",IF(AE312="","Sin objetivo",IF(AJ312="","Faltan datos",IF(AJ312&lt;0,"PÉRDIDA",IF(AK312&lt;-UMB_CRITICO,"MUY POR DEBAJO",IF(AK312&lt;-UMB_BAJO,"POR DEBAJO",IF(AK312&lt;-UMB_AJUSTADO,"AJUSTADO",IF(AK312&lt;=UMB_ALTO,"EN OBJETIVO","POR ENCIMA"))))))))</f>
        <v/>
      </c>
      <c r="AN312" s="44"/>
      <c r="AO312" s="44"/>
      <c r="AP312" s="46"/>
      <c r="AQ312" s="46"/>
      <c r="AR312" s="46"/>
      <c r="AS312" s="44"/>
      <c r="AT312" s="44"/>
      <c r="AU312" s="44"/>
      <c r="AV312" s="44"/>
      <c r="AW312" s="44"/>
      <c r="AX312" s="45"/>
      <c r="AY312" s="44"/>
      <c r="AZ312" s="56"/>
      <c r="BA312" s="45"/>
    </row>
    <row r="313" customFormat="false" ht="15" hidden="false" customHeight="false" outlineLevel="0" collapsed="false">
      <c r="A313" s="44"/>
      <c r="B313" s="44"/>
      <c r="C313" s="45"/>
      <c r="D313" s="45"/>
      <c r="E313" s="44"/>
      <c r="F313" s="44"/>
      <c r="G313" s="44"/>
      <c r="H313" s="44"/>
      <c r="I313" s="44"/>
      <c r="J313" s="44"/>
      <c r="K313" s="44"/>
      <c r="L313" s="44"/>
      <c r="M313" s="44"/>
      <c r="N313" s="44"/>
      <c r="O313" s="46"/>
      <c r="P313" s="44"/>
      <c r="Q313" s="46"/>
      <c r="R313" s="44"/>
      <c r="S313" s="45"/>
      <c r="T313" s="44"/>
      <c r="U313" s="44"/>
      <c r="V313" s="47"/>
      <c r="W313" s="48" t="str">
        <f aca="false">IF(V313="","",IFERROR(V313/O313,""))</f>
        <v/>
      </c>
      <c r="X313" s="44"/>
      <c r="Y313" s="46"/>
      <c r="Z313" s="49"/>
      <c r="AA313" s="44"/>
      <c r="AB313" s="50" t="str">
        <f aca="false">IFERROR(INDEX(TABLA_IVA!$C$3:$C$6,MATCH(AA313,TABLA_IVA!$A$3:$A$6,0)),"")</f>
        <v/>
      </c>
      <c r="AC313" s="47"/>
      <c r="AD313" s="44"/>
      <c r="AE313" s="51"/>
      <c r="AF313" s="52" t="str">
        <f aca="false">IF(OR(AC313="",AE313="",AB313=""),"",IFERROR(AC313/(1-AE313)*(1+AB313),""))</f>
        <v/>
      </c>
      <c r="AG313" s="47"/>
      <c r="AH313" s="52" t="str">
        <f aca="false">IF(AD313="FIJO",IF(AG313="","",AG313),IF(AF313&lt;&gt;"",AF313,IF(AG313="","",AG313)))</f>
        <v/>
      </c>
      <c r="AI313" s="52" t="str">
        <f aca="false">IF(OR(AH313="",AB313=""),"",IFERROR(AH313/(1+AB313),""))</f>
        <v/>
      </c>
      <c r="AJ313" s="50" t="str">
        <f aca="false">IF(OR(AI313="",AC313=""),"",IFERROR((AI313-AC313)/AI313,""))</f>
        <v/>
      </c>
      <c r="AK313" s="53" t="str">
        <f aca="false">IF(OR(AJ313="",AE313=""),"",AJ313-AE313)</f>
        <v/>
      </c>
      <c r="AL313" s="54" t="str">
        <f aca="false">IF(OR(AH313="",AF313=""),"",AH313-AF313)</f>
        <v/>
      </c>
      <c r="AM313" s="55" t="str">
        <f aca="false">IF(OR(A313="",K313&lt;&gt;"SI"),"",IF(AE313="","Sin objetivo",IF(AJ313="","Faltan datos",IF(AJ313&lt;0,"PÉRDIDA",IF(AK313&lt;-UMB_CRITICO,"MUY POR DEBAJO",IF(AK313&lt;-UMB_BAJO,"POR DEBAJO",IF(AK313&lt;-UMB_AJUSTADO,"AJUSTADO",IF(AK313&lt;=UMB_ALTO,"EN OBJETIVO","POR ENCIMA"))))))))</f>
        <v/>
      </c>
      <c r="AN313" s="44"/>
      <c r="AO313" s="44"/>
      <c r="AP313" s="46"/>
      <c r="AQ313" s="46"/>
      <c r="AR313" s="46"/>
      <c r="AS313" s="44"/>
      <c r="AT313" s="44"/>
      <c r="AU313" s="44"/>
      <c r="AV313" s="44"/>
      <c r="AW313" s="44"/>
      <c r="AX313" s="45"/>
      <c r="AY313" s="44"/>
      <c r="AZ313" s="56"/>
      <c r="BA313" s="45"/>
    </row>
    <row r="314" customFormat="false" ht="15" hidden="false" customHeight="false" outlineLevel="0" collapsed="false">
      <c r="A314" s="44"/>
      <c r="B314" s="44"/>
      <c r="C314" s="45"/>
      <c r="D314" s="45"/>
      <c r="E314" s="44"/>
      <c r="F314" s="44"/>
      <c r="G314" s="44"/>
      <c r="H314" s="44"/>
      <c r="I314" s="44"/>
      <c r="J314" s="44"/>
      <c r="K314" s="44"/>
      <c r="L314" s="44"/>
      <c r="M314" s="44"/>
      <c r="N314" s="44"/>
      <c r="O314" s="46"/>
      <c r="P314" s="44"/>
      <c r="Q314" s="46"/>
      <c r="R314" s="44"/>
      <c r="S314" s="45"/>
      <c r="T314" s="44"/>
      <c r="U314" s="44"/>
      <c r="V314" s="47"/>
      <c r="W314" s="48" t="str">
        <f aca="false">IF(V314="","",IFERROR(V314/O314,""))</f>
        <v/>
      </c>
      <c r="X314" s="44"/>
      <c r="Y314" s="46"/>
      <c r="Z314" s="49"/>
      <c r="AA314" s="44"/>
      <c r="AB314" s="50" t="str">
        <f aca="false">IFERROR(INDEX(TABLA_IVA!$C$3:$C$6,MATCH(AA314,TABLA_IVA!$A$3:$A$6,0)),"")</f>
        <v/>
      </c>
      <c r="AC314" s="47"/>
      <c r="AD314" s="44"/>
      <c r="AE314" s="51"/>
      <c r="AF314" s="52" t="str">
        <f aca="false">IF(OR(AC314="",AE314="",AB314=""),"",IFERROR(AC314/(1-AE314)*(1+AB314),""))</f>
        <v/>
      </c>
      <c r="AG314" s="47"/>
      <c r="AH314" s="52" t="str">
        <f aca="false">IF(AD314="FIJO",IF(AG314="","",AG314),IF(AF314&lt;&gt;"",AF314,IF(AG314="","",AG314)))</f>
        <v/>
      </c>
      <c r="AI314" s="52" t="str">
        <f aca="false">IF(OR(AH314="",AB314=""),"",IFERROR(AH314/(1+AB314),""))</f>
        <v/>
      </c>
      <c r="AJ314" s="50" t="str">
        <f aca="false">IF(OR(AI314="",AC314=""),"",IFERROR((AI314-AC314)/AI314,""))</f>
        <v/>
      </c>
      <c r="AK314" s="53" t="str">
        <f aca="false">IF(OR(AJ314="",AE314=""),"",AJ314-AE314)</f>
        <v/>
      </c>
      <c r="AL314" s="54" t="str">
        <f aca="false">IF(OR(AH314="",AF314=""),"",AH314-AF314)</f>
        <v/>
      </c>
      <c r="AM314" s="55" t="str">
        <f aca="false">IF(OR(A314="",K314&lt;&gt;"SI"),"",IF(AE314="","Sin objetivo",IF(AJ314="","Faltan datos",IF(AJ314&lt;0,"PÉRDIDA",IF(AK314&lt;-UMB_CRITICO,"MUY POR DEBAJO",IF(AK314&lt;-UMB_BAJO,"POR DEBAJO",IF(AK314&lt;-UMB_AJUSTADO,"AJUSTADO",IF(AK314&lt;=UMB_ALTO,"EN OBJETIVO","POR ENCIMA"))))))))</f>
        <v/>
      </c>
      <c r="AN314" s="44"/>
      <c r="AO314" s="44"/>
      <c r="AP314" s="46"/>
      <c r="AQ314" s="46"/>
      <c r="AR314" s="46"/>
      <c r="AS314" s="44"/>
      <c r="AT314" s="44"/>
      <c r="AU314" s="44"/>
      <c r="AV314" s="44"/>
      <c r="AW314" s="44"/>
      <c r="AX314" s="45"/>
      <c r="AY314" s="44"/>
      <c r="AZ314" s="56"/>
      <c r="BA314" s="45"/>
    </row>
    <row r="315" customFormat="false" ht="15" hidden="false" customHeight="false" outlineLevel="0" collapsed="false">
      <c r="A315" s="44"/>
      <c r="B315" s="44"/>
      <c r="C315" s="45"/>
      <c r="D315" s="45"/>
      <c r="E315" s="44"/>
      <c r="F315" s="44"/>
      <c r="G315" s="44"/>
      <c r="H315" s="44"/>
      <c r="I315" s="44"/>
      <c r="J315" s="44"/>
      <c r="K315" s="44"/>
      <c r="L315" s="44"/>
      <c r="M315" s="44"/>
      <c r="N315" s="44"/>
      <c r="O315" s="46"/>
      <c r="P315" s="44"/>
      <c r="Q315" s="46"/>
      <c r="R315" s="44"/>
      <c r="S315" s="45"/>
      <c r="T315" s="44"/>
      <c r="U315" s="44"/>
      <c r="V315" s="47"/>
      <c r="W315" s="48" t="str">
        <f aca="false">IF(V315="","",IFERROR(V315/O315,""))</f>
        <v/>
      </c>
      <c r="X315" s="44"/>
      <c r="Y315" s="46"/>
      <c r="Z315" s="49"/>
      <c r="AA315" s="44"/>
      <c r="AB315" s="50" t="str">
        <f aca="false">IFERROR(INDEX(TABLA_IVA!$C$3:$C$6,MATCH(AA315,TABLA_IVA!$A$3:$A$6,0)),"")</f>
        <v/>
      </c>
      <c r="AC315" s="47"/>
      <c r="AD315" s="44"/>
      <c r="AE315" s="51"/>
      <c r="AF315" s="52" t="str">
        <f aca="false">IF(OR(AC315="",AE315="",AB315=""),"",IFERROR(AC315/(1-AE315)*(1+AB315),""))</f>
        <v/>
      </c>
      <c r="AG315" s="47"/>
      <c r="AH315" s="52" t="str">
        <f aca="false">IF(AD315="FIJO",IF(AG315="","",AG315),IF(AF315&lt;&gt;"",AF315,IF(AG315="","",AG315)))</f>
        <v/>
      </c>
      <c r="AI315" s="52" t="str">
        <f aca="false">IF(OR(AH315="",AB315=""),"",IFERROR(AH315/(1+AB315),""))</f>
        <v/>
      </c>
      <c r="AJ315" s="50" t="str">
        <f aca="false">IF(OR(AI315="",AC315=""),"",IFERROR((AI315-AC315)/AI315,""))</f>
        <v/>
      </c>
      <c r="AK315" s="53" t="str">
        <f aca="false">IF(OR(AJ315="",AE315=""),"",AJ315-AE315)</f>
        <v/>
      </c>
      <c r="AL315" s="54" t="str">
        <f aca="false">IF(OR(AH315="",AF315=""),"",AH315-AF315)</f>
        <v/>
      </c>
      <c r="AM315" s="55" t="str">
        <f aca="false">IF(OR(A315="",K315&lt;&gt;"SI"),"",IF(AE315="","Sin objetivo",IF(AJ315="","Faltan datos",IF(AJ315&lt;0,"PÉRDIDA",IF(AK315&lt;-UMB_CRITICO,"MUY POR DEBAJO",IF(AK315&lt;-UMB_BAJO,"POR DEBAJO",IF(AK315&lt;-UMB_AJUSTADO,"AJUSTADO",IF(AK315&lt;=UMB_ALTO,"EN OBJETIVO","POR ENCIMA"))))))))</f>
        <v/>
      </c>
      <c r="AN315" s="44"/>
      <c r="AO315" s="44"/>
      <c r="AP315" s="46"/>
      <c r="AQ315" s="46"/>
      <c r="AR315" s="46"/>
      <c r="AS315" s="44"/>
      <c r="AT315" s="44"/>
      <c r="AU315" s="44"/>
      <c r="AV315" s="44"/>
      <c r="AW315" s="44"/>
      <c r="AX315" s="45"/>
      <c r="AY315" s="44"/>
      <c r="AZ315" s="56"/>
      <c r="BA315" s="45"/>
    </row>
    <row r="316" customFormat="false" ht="15" hidden="false" customHeight="false" outlineLevel="0" collapsed="false">
      <c r="A316" s="44"/>
      <c r="B316" s="44"/>
      <c r="C316" s="45"/>
      <c r="D316" s="45"/>
      <c r="E316" s="44"/>
      <c r="F316" s="44"/>
      <c r="G316" s="44"/>
      <c r="H316" s="44"/>
      <c r="I316" s="44"/>
      <c r="J316" s="44"/>
      <c r="K316" s="44"/>
      <c r="L316" s="44"/>
      <c r="M316" s="44"/>
      <c r="N316" s="44"/>
      <c r="O316" s="46"/>
      <c r="P316" s="44"/>
      <c r="Q316" s="46"/>
      <c r="R316" s="44"/>
      <c r="S316" s="45"/>
      <c r="T316" s="44"/>
      <c r="U316" s="44"/>
      <c r="V316" s="47"/>
      <c r="W316" s="48" t="str">
        <f aca="false">IF(V316="","",IFERROR(V316/O316,""))</f>
        <v/>
      </c>
      <c r="X316" s="44"/>
      <c r="Y316" s="46"/>
      <c r="Z316" s="49"/>
      <c r="AA316" s="44"/>
      <c r="AB316" s="50" t="str">
        <f aca="false">IFERROR(INDEX(TABLA_IVA!$C$3:$C$6,MATCH(AA316,TABLA_IVA!$A$3:$A$6,0)),"")</f>
        <v/>
      </c>
      <c r="AC316" s="47"/>
      <c r="AD316" s="44"/>
      <c r="AE316" s="51"/>
      <c r="AF316" s="52" t="str">
        <f aca="false">IF(OR(AC316="",AE316="",AB316=""),"",IFERROR(AC316/(1-AE316)*(1+AB316),""))</f>
        <v/>
      </c>
      <c r="AG316" s="47"/>
      <c r="AH316" s="52" t="str">
        <f aca="false">IF(AD316="FIJO",IF(AG316="","",AG316),IF(AF316&lt;&gt;"",AF316,IF(AG316="","",AG316)))</f>
        <v/>
      </c>
      <c r="AI316" s="52" t="str">
        <f aca="false">IF(OR(AH316="",AB316=""),"",IFERROR(AH316/(1+AB316),""))</f>
        <v/>
      </c>
      <c r="AJ316" s="50" t="str">
        <f aca="false">IF(OR(AI316="",AC316=""),"",IFERROR((AI316-AC316)/AI316,""))</f>
        <v/>
      </c>
      <c r="AK316" s="53" t="str">
        <f aca="false">IF(OR(AJ316="",AE316=""),"",AJ316-AE316)</f>
        <v/>
      </c>
      <c r="AL316" s="54" t="str">
        <f aca="false">IF(OR(AH316="",AF316=""),"",AH316-AF316)</f>
        <v/>
      </c>
      <c r="AM316" s="55" t="str">
        <f aca="false">IF(OR(A316="",K316&lt;&gt;"SI"),"",IF(AE316="","Sin objetivo",IF(AJ316="","Faltan datos",IF(AJ316&lt;0,"PÉRDIDA",IF(AK316&lt;-UMB_CRITICO,"MUY POR DEBAJO",IF(AK316&lt;-UMB_BAJO,"POR DEBAJO",IF(AK316&lt;-UMB_AJUSTADO,"AJUSTADO",IF(AK316&lt;=UMB_ALTO,"EN OBJETIVO","POR ENCIMA"))))))))</f>
        <v/>
      </c>
      <c r="AN316" s="44"/>
      <c r="AO316" s="44"/>
      <c r="AP316" s="46"/>
      <c r="AQ316" s="46"/>
      <c r="AR316" s="46"/>
      <c r="AS316" s="44"/>
      <c r="AT316" s="44"/>
      <c r="AU316" s="44"/>
      <c r="AV316" s="44"/>
      <c r="AW316" s="44"/>
      <c r="AX316" s="45"/>
      <c r="AY316" s="44"/>
      <c r="AZ316" s="56"/>
      <c r="BA316" s="45"/>
    </row>
    <row r="317" customFormat="false" ht="15" hidden="false" customHeight="false" outlineLevel="0" collapsed="false">
      <c r="A317" s="44"/>
      <c r="B317" s="44"/>
      <c r="C317" s="45"/>
      <c r="D317" s="45"/>
      <c r="E317" s="44"/>
      <c r="F317" s="44"/>
      <c r="G317" s="44"/>
      <c r="H317" s="44"/>
      <c r="I317" s="44"/>
      <c r="J317" s="44"/>
      <c r="K317" s="44"/>
      <c r="L317" s="44"/>
      <c r="M317" s="44"/>
      <c r="N317" s="44"/>
      <c r="O317" s="46"/>
      <c r="P317" s="44"/>
      <c r="Q317" s="46"/>
      <c r="R317" s="44"/>
      <c r="S317" s="45"/>
      <c r="T317" s="44"/>
      <c r="U317" s="44"/>
      <c r="V317" s="47"/>
      <c r="W317" s="48" t="str">
        <f aca="false">IF(V317="","",IFERROR(V317/O317,""))</f>
        <v/>
      </c>
      <c r="X317" s="44"/>
      <c r="Y317" s="46"/>
      <c r="Z317" s="49"/>
      <c r="AA317" s="44"/>
      <c r="AB317" s="50" t="str">
        <f aca="false">IFERROR(INDEX(TABLA_IVA!$C$3:$C$6,MATCH(AA317,TABLA_IVA!$A$3:$A$6,0)),"")</f>
        <v/>
      </c>
      <c r="AC317" s="47"/>
      <c r="AD317" s="44"/>
      <c r="AE317" s="51"/>
      <c r="AF317" s="52" t="str">
        <f aca="false">IF(OR(AC317="",AE317="",AB317=""),"",IFERROR(AC317/(1-AE317)*(1+AB317),""))</f>
        <v/>
      </c>
      <c r="AG317" s="47"/>
      <c r="AH317" s="52" t="str">
        <f aca="false">IF(AD317="FIJO",IF(AG317="","",AG317),IF(AF317&lt;&gt;"",AF317,IF(AG317="","",AG317)))</f>
        <v/>
      </c>
      <c r="AI317" s="52" t="str">
        <f aca="false">IF(OR(AH317="",AB317=""),"",IFERROR(AH317/(1+AB317),""))</f>
        <v/>
      </c>
      <c r="AJ317" s="50" t="str">
        <f aca="false">IF(OR(AI317="",AC317=""),"",IFERROR((AI317-AC317)/AI317,""))</f>
        <v/>
      </c>
      <c r="AK317" s="53" t="str">
        <f aca="false">IF(OR(AJ317="",AE317=""),"",AJ317-AE317)</f>
        <v/>
      </c>
      <c r="AL317" s="54" t="str">
        <f aca="false">IF(OR(AH317="",AF317=""),"",AH317-AF317)</f>
        <v/>
      </c>
      <c r="AM317" s="55" t="str">
        <f aca="false">IF(OR(A317="",K317&lt;&gt;"SI"),"",IF(AE317="","Sin objetivo",IF(AJ317="","Faltan datos",IF(AJ317&lt;0,"PÉRDIDA",IF(AK317&lt;-UMB_CRITICO,"MUY POR DEBAJO",IF(AK317&lt;-UMB_BAJO,"POR DEBAJO",IF(AK317&lt;-UMB_AJUSTADO,"AJUSTADO",IF(AK317&lt;=UMB_ALTO,"EN OBJETIVO","POR ENCIMA"))))))))</f>
        <v/>
      </c>
      <c r="AN317" s="44"/>
      <c r="AO317" s="44"/>
      <c r="AP317" s="46"/>
      <c r="AQ317" s="46"/>
      <c r="AR317" s="46"/>
      <c r="AS317" s="44"/>
      <c r="AT317" s="44"/>
      <c r="AU317" s="44"/>
      <c r="AV317" s="44"/>
      <c r="AW317" s="44"/>
      <c r="AX317" s="45"/>
      <c r="AY317" s="44"/>
      <c r="AZ317" s="56"/>
      <c r="BA317" s="45"/>
    </row>
    <row r="318" customFormat="false" ht="15" hidden="false" customHeight="false" outlineLevel="0" collapsed="false">
      <c r="A318" s="44"/>
      <c r="B318" s="44"/>
      <c r="C318" s="45"/>
      <c r="D318" s="45"/>
      <c r="E318" s="44"/>
      <c r="F318" s="44"/>
      <c r="G318" s="44"/>
      <c r="H318" s="44"/>
      <c r="I318" s="44"/>
      <c r="J318" s="44"/>
      <c r="K318" s="44"/>
      <c r="L318" s="44"/>
      <c r="M318" s="44"/>
      <c r="N318" s="44"/>
      <c r="O318" s="46"/>
      <c r="P318" s="44"/>
      <c r="Q318" s="46"/>
      <c r="R318" s="44"/>
      <c r="S318" s="45"/>
      <c r="T318" s="44"/>
      <c r="U318" s="44"/>
      <c r="V318" s="47"/>
      <c r="W318" s="48" t="str">
        <f aca="false">IF(V318="","",IFERROR(V318/O318,""))</f>
        <v/>
      </c>
      <c r="X318" s="44"/>
      <c r="Y318" s="46"/>
      <c r="Z318" s="49"/>
      <c r="AA318" s="44"/>
      <c r="AB318" s="50" t="str">
        <f aca="false">IFERROR(INDEX(TABLA_IVA!$C$3:$C$6,MATCH(AA318,TABLA_IVA!$A$3:$A$6,0)),"")</f>
        <v/>
      </c>
      <c r="AC318" s="47"/>
      <c r="AD318" s="44"/>
      <c r="AE318" s="51"/>
      <c r="AF318" s="52" t="str">
        <f aca="false">IF(OR(AC318="",AE318="",AB318=""),"",IFERROR(AC318/(1-AE318)*(1+AB318),""))</f>
        <v/>
      </c>
      <c r="AG318" s="47"/>
      <c r="AH318" s="52" t="str">
        <f aca="false">IF(AD318="FIJO",IF(AG318="","",AG318),IF(AF318&lt;&gt;"",AF318,IF(AG318="","",AG318)))</f>
        <v/>
      </c>
      <c r="AI318" s="52" t="str">
        <f aca="false">IF(OR(AH318="",AB318=""),"",IFERROR(AH318/(1+AB318),""))</f>
        <v/>
      </c>
      <c r="AJ318" s="50" t="str">
        <f aca="false">IF(OR(AI318="",AC318=""),"",IFERROR((AI318-AC318)/AI318,""))</f>
        <v/>
      </c>
      <c r="AK318" s="53" t="str">
        <f aca="false">IF(OR(AJ318="",AE318=""),"",AJ318-AE318)</f>
        <v/>
      </c>
      <c r="AL318" s="54" t="str">
        <f aca="false">IF(OR(AH318="",AF318=""),"",AH318-AF318)</f>
        <v/>
      </c>
      <c r="AM318" s="55" t="str">
        <f aca="false">IF(OR(A318="",K318&lt;&gt;"SI"),"",IF(AE318="","Sin objetivo",IF(AJ318="","Faltan datos",IF(AJ318&lt;0,"PÉRDIDA",IF(AK318&lt;-UMB_CRITICO,"MUY POR DEBAJO",IF(AK318&lt;-UMB_BAJO,"POR DEBAJO",IF(AK318&lt;-UMB_AJUSTADO,"AJUSTADO",IF(AK318&lt;=UMB_ALTO,"EN OBJETIVO","POR ENCIMA"))))))))</f>
        <v/>
      </c>
      <c r="AN318" s="44"/>
      <c r="AO318" s="44"/>
      <c r="AP318" s="46"/>
      <c r="AQ318" s="46"/>
      <c r="AR318" s="46"/>
      <c r="AS318" s="44"/>
      <c r="AT318" s="44"/>
      <c r="AU318" s="44"/>
      <c r="AV318" s="44"/>
      <c r="AW318" s="44"/>
      <c r="AX318" s="45"/>
      <c r="AY318" s="44"/>
      <c r="AZ318" s="56"/>
      <c r="BA318" s="45"/>
    </row>
    <row r="319" customFormat="false" ht="15" hidden="false" customHeight="false" outlineLevel="0" collapsed="false">
      <c r="A319" s="44"/>
      <c r="B319" s="44"/>
      <c r="C319" s="45"/>
      <c r="D319" s="45"/>
      <c r="E319" s="44"/>
      <c r="F319" s="44"/>
      <c r="G319" s="44"/>
      <c r="H319" s="44"/>
      <c r="I319" s="44"/>
      <c r="J319" s="44"/>
      <c r="K319" s="44"/>
      <c r="L319" s="44"/>
      <c r="M319" s="44"/>
      <c r="N319" s="44"/>
      <c r="O319" s="46"/>
      <c r="P319" s="44"/>
      <c r="Q319" s="46"/>
      <c r="R319" s="44"/>
      <c r="S319" s="45"/>
      <c r="T319" s="44"/>
      <c r="U319" s="44"/>
      <c r="V319" s="47"/>
      <c r="W319" s="48" t="str">
        <f aca="false">IF(V319="","",IFERROR(V319/O319,""))</f>
        <v/>
      </c>
      <c r="X319" s="44"/>
      <c r="Y319" s="46"/>
      <c r="Z319" s="49"/>
      <c r="AA319" s="44"/>
      <c r="AB319" s="50" t="str">
        <f aca="false">IFERROR(INDEX(TABLA_IVA!$C$3:$C$6,MATCH(AA319,TABLA_IVA!$A$3:$A$6,0)),"")</f>
        <v/>
      </c>
      <c r="AC319" s="47"/>
      <c r="AD319" s="44"/>
      <c r="AE319" s="51"/>
      <c r="AF319" s="52" t="str">
        <f aca="false">IF(OR(AC319="",AE319="",AB319=""),"",IFERROR(AC319/(1-AE319)*(1+AB319),""))</f>
        <v/>
      </c>
      <c r="AG319" s="47"/>
      <c r="AH319" s="52" t="str">
        <f aca="false">IF(AD319="FIJO",IF(AG319="","",AG319),IF(AF319&lt;&gt;"",AF319,IF(AG319="","",AG319)))</f>
        <v/>
      </c>
      <c r="AI319" s="52" t="str">
        <f aca="false">IF(OR(AH319="",AB319=""),"",IFERROR(AH319/(1+AB319),""))</f>
        <v/>
      </c>
      <c r="AJ319" s="50" t="str">
        <f aca="false">IF(OR(AI319="",AC319=""),"",IFERROR((AI319-AC319)/AI319,""))</f>
        <v/>
      </c>
      <c r="AK319" s="53" t="str">
        <f aca="false">IF(OR(AJ319="",AE319=""),"",AJ319-AE319)</f>
        <v/>
      </c>
      <c r="AL319" s="54" t="str">
        <f aca="false">IF(OR(AH319="",AF319=""),"",AH319-AF319)</f>
        <v/>
      </c>
      <c r="AM319" s="55" t="str">
        <f aca="false">IF(OR(A319="",K319&lt;&gt;"SI"),"",IF(AE319="","Sin objetivo",IF(AJ319="","Faltan datos",IF(AJ319&lt;0,"PÉRDIDA",IF(AK319&lt;-UMB_CRITICO,"MUY POR DEBAJO",IF(AK319&lt;-UMB_BAJO,"POR DEBAJO",IF(AK319&lt;-UMB_AJUSTADO,"AJUSTADO",IF(AK319&lt;=UMB_ALTO,"EN OBJETIVO","POR ENCIMA"))))))))</f>
        <v/>
      </c>
      <c r="AN319" s="44"/>
      <c r="AO319" s="44"/>
      <c r="AP319" s="46"/>
      <c r="AQ319" s="46"/>
      <c r="AR319" s="46"/>
      <c r="AS319" s="44"/>
      <c r="AT319" s="44"/>
      <c r="AU319" s="44"/>
      <c r="AV319" s="44"/>
      <c r="AW319" s="44"/>
      <c r="AX319" s="45"/>
      <c r="AY319" s="44"/>
      <c r="AZ319" s="56"/>
      <c r="BA319" s="45"/>
    </row>
    <row r="320" customFormat="false" ht="15" hidden="false" customHeight="false" outlineLevel="0" collapsed="false">
      <c r="A320" s="44"/>
      <c r="B320" s="44"/>
      <c r="C320" s="45"/>
      <c r="D320" s="45"/>
      <c r="E320" s="44"/>
      <c r="F320" s="44"/>
      <c r="G320" s="44"/>
      <c r="H320" s="44"/>
      <c r="I320" s="44"/>
      <c r="J320" s="44"/>
      <c r="K320" s="44"/>
      <c r="L320" s="44"/>
      <c r="M320" s="44"/>
      <c r="N320" s="44"/>
      <c r="O320" s="46"/>
      <c r="P320" s="44"/>
      <c r="Q320" s="46"/>
      <c r="R320" s="44"/>
      <c r="S320" s="45"/>
      <c r="T320" s="44"/>
      <c r="U320" s="44"/>
      <c r="V320" s="47"/>
      <c r="W320" s="48" t="str">
        <f aca="false">IF(V320="","",IFERROR(V320/O320,""))</f>
        <v/>
      </c>
      <c r="X320" s="44"/>
      <c r="Y320" s="46"/>
      <c r="Z320" s="49"/>
      <c r="AA320" s="44"/>
      <c r="AB320" s="50" t="str">
        <f aca="false">IFERROR(INDEX(TABLA_IVA!$C$3:$C$6,MATCH(AA320,TABLA_IVA!$A$3:$A$6,0)),"")</f>
        <v/>
      </c>
      <c r="AC320" s="47"/>
      <c r="AD320" s="44"/>
      <c r="AE320" s="51"/>
      <c r="AF320" s="52" t="str">
        <f aca="false">IF(OR(AC320="",AE320="",AB320=""),"",IFERROR(AC320/(1-AE320)*(1+AB320),""))</f>
        <v/>
      </c>
      <c r="AG320" s="47"/>
      <c r="AH320" s="52" t="str">
        <f aca="false">IF(AD320="FIJO",IF(AG320="","",AG320),IF(AF320&lt;&gt;"",AF320,IF(AG320="","",AG320)))</f>
        <v/>
      </c>
      <c r="AI320" s="52" t="str">
        <f aca="false">IF(OR(AH320="",AB320=""),"",IFERROR(AH320/(1+AB320),""))</f>
        <v/>
      </c>
      <c r="AJ320" s="50" t="str">
        <f aca="false">IF(OR(AI320="",AC320=""),"",IFERROR((AI320-AC320)/AI320,""))</f>
        <v/>
      </c>
      <c r="AK320" s="53" t="str">
        <f aca="false">IF(OR(AJ320="",AE320=""),"",AJ320-AE320)</f>
        <v/>
      </c>
      <c r="AL320" s="54" t="str">
        <f aca="false">IF(OR(AH320="",AF320=""),"",AH320-AF320)</f>
        <v/>
      </c>
      <c r="AM320" s="55" t="str">
        <f aca="false">IF(OR(A320="",K320&lt;&gt;"SI"),"",IF(AE320="","Sin objetivo",IF(AJ320="","Faltan datos",IF(AJ320&lt;0,"PÉRDIDA",IF(AK320&lt;-UMB_CRITICO,"MUY POR DEBAJO",IF(AK320&lt;-UMB_BAJO,"POR DEBAJO",IF(AK320&lt;-UMB_AJUSTADO,"AJUSTADO",IF(AK320&lt;=UMB_ALTO,"EN OBJETIVO","POR ENCIMA"))))))))</f>
        <v/>
      </c>
      <c r="AN320" s="44"/>
      <c r="AO320" s="44"/>
      <c r="AP320" s="46"/>
      <c r="AQ320" s="46"/>
      <c r="AR320" s="46"/>
      <c r="AS320" s="44"/>
      <c r="AT320" s="44"/>
      <c r="AU320" s="44"/>
      <c r="AV320" s="44"/>
      <c r="AW320" s="44"/>
      <c r="AX320" s="45"/>
      <c r="AY320" s="44"/>
      <c r="AZ320" s="56"/>
      <c r="BA320" s="45"/>
    </row>
    <row r="321" customFormat="false" ht="15" hidden="false" customHeight="false" outlineLevel="0" collapsed="false">
      <c r="A321" s="44"/>
      <c r="B321" s="44"/>
      <c r="C321" s="45"/>
      <c r="D321" s="45"/>
      <c r="E321" s="44"/>
      <c r="F321" s="44"/>
      <c r="G321" s="44"/>
      <c r="H321" s="44"/>
      <c r="I321" s="44"/>
      <c r="J321" s="44"/>
      <c r="K321" s="44"/>
      <c r="L321" s="44"/>
      <c r="M321" s="44"/>
      <c r="N321" s="44"/>
      <c r="O321" s="46"/>
      <c r="P321" s="44"/>
      <c r="Q321" s="46"/>
      <c r="R321" s="44"/>
      <c r="S321" s="45"/>
      <c r="T321" s="44"/>
      <c r="U321" s="44"/>
      <c r="V321" s="47"/>
      <c r="W321" s="48" t="str">
        <f aca="false">IF(V321="","",IFERROR(V321/O321,""))</f>
        <v/>
      </c>
      <c r="X321" s="44"/>
      <c r="Y321" s="46"/>
      <c r="Z321" s="49"/>
      <c r="AA321" s="44"/>
      <c r="AB321" s="50" t="str">
        <f aca="false">IFERROR(INDEX(TABLA_IVA!$C$3:$C$6,MATCH(AA321,TABLA_IVA!$A$3:$A$6,0)),"")</f>
        <v/>
      </c>
      <c r="AC321" s="47"/>
      <c r="AD321" s="44"/>
      <c r="AE321" s="51"/>
      <c r="AF321" s="52" t="str">
        <f aca="false">IF(OR(AC321="",AE321="",AB321=""),"",IFERROR(AC321/(1-AE321)*(1+AB321),""))</f>
        <v/>
      </c>
      <c r="AG321" s="47"/>
      <c r="AH321" s="52" t="str">
        <f aca="false">IF(AD321="FIJO",IF(AG321="","",AG321),IF(AF321&lt;&gt;"",AF321,IF(AG321="","",AG321)))</f>
        <v/>
      </c>
      <c r="AI321" s="52" t="str">
        <f aca="false">IF(OR(AH321="",AB321=""),"",IFERROR(AH321/(1+AB321),""))</f>
        <v/>
      </c>
      <c r="AJ321" s="50" t="str">
        <f aca="false">IF(OR(AI321="",AC321=""),"",IFERROR((AI321-AC321)/AI321,""))</f>
        <v/>
      </c>
      <c r="AK321" s="53" t="str">
        <f aca="false">IF(OR(AJ321="",AE321=""),"",AJ321-AE321)</f>
        <v/>
      </c>
      <c r="AL321" s="54" t="str">
        <f aca="false">IF(OR(AH321="",AF321=""),"",AH321-AF321)</f>
        <v/>
      </c>
      <c r="AM321" s="55" t="str">
        <f aca="false">IF(OR(A321="",K321&lt;&gt;"SI"),"",IF(AE321="","Sin objetivo",IF(AJ321="","Faltan datos",IF(AJ321&lt;0,"PÉRDIDA",IF(AK321&lt;-UMB_CRITICO,"MUY POR DEBAJO",IF(AK321&lt;-UMB_BAJO,"POR DEBAJO",IF(AK321&lt;-UMB_AJUSTADO,"AJUSTADO",IF(AK321&lt;=UMB_ALTO,"EN OBJETIVO","POR ENCIMA"))))))))</f>
        <v/>
      </c>
      <c r="AN321" s="44"/>
      <c r="AO321" s="44"/>
      <c r="AP321" s="46"/>
      <c r="AQ321" s="46"/>
      <c r="AR321" s="46"/>
      <c r="AS321" s="44"/>
      <c r="AT321" s="44"/>
      <c r="AU321" s="44"/>
      <c r="AV321" s="44"/>
      <c r="AW321" s="44"/>
      <c r="AX321" s="45"/>
      <c r="AY321" s="44"/>
      <c r="AZ321" s="56"/>
      <c r="BA321" s="45"/>
    </row>
    <row r="322" customFormat="false" ht="15" hidden="false" customHeight="false" outlineLevel="0" collapsed="false">
      <c r="A322" s="44"/>
      <c r="B322" s="44"/>
      <c r="C322" s="45"/>
      <c r="D322" s="45"/>
      <c r="E322" s="44"/>
      <c r="F322" s="44"/>
      <c r="G322" s="44"/>
      <c r="H322" s="44"/>
      <c r="I322" s="44"/>
      <c r="J322" s="44"/>
      <c r="K322" s="44"/>
      <c r="L322" s="44"/>
      <c r="M322" s="44"/>
      <c r="N322" s="44"/>
      <c r="O322" s="46"/>
      <c r="P322" s="44"/>
      <c r="Q322" s="46"/>
      <c r="R322" s="44"/>
      <c r="S322" s="45"/>
      <c r="T322" s="44"/>
      <c r="U322" s="44"/>
      <c r="V322" s="47"/>
      <c r="W322" s="48" t="str">
        <f aca="false">IF(V322="","",IFERROR(V322/O322,""))</f>
        <v/>
      </c>
      <c r="X322" s="44"/>
      <c r="Y322" s="46"/>
      <c r="Z322" s="49"/>
      <c r="AA322" s="44"/>
      <c r="AB322" s="50" t="str">
        <f aca="false">IFERROR(INDEX(TABLA_IVA!$C$3:$C$6,MATCH(AA322,TABLA_IVA!$A$3:$A$6,0)),"")</f>
        <v/>
      </c>
      <c r="AC322" s="47"/>
      <c r="AD322" s="44"/>
      <c r="AE322" s="51"/>
      <c r="AF322" s="52" t="str">
        <f aca="false">IF(OR(AC322="",AE322="",AB322=""),"",IFERROR(AC322/(1-AE322)*(1+AB322),""))</f>
        <v/>
      </c>
      <c r="AG322" s="47"/>
      <c r="AH322" s="52" t="str">
        <f aca="false">IF(AD322="FIJO",IF(AG322="","",AG322),IF(AF322&lt;&gt;"",AF322,IF(AG322="","",AG322)))</f>
        <v/>
      </c>
      <c r="AI322" s="52" t="str">
        <f aca="false">IF(OR(AH322="",AB322=""),"",IFERROR(AH322/(1+AB322),""))</f>
        <v/>
      </c>
      <c r="AJ322" s="50" t="str">
        <f aca="false">IF(OR(AI322="",AC322=""),"",IFERROR((AI322-AC322)/AI322,""))</f>
        <v/>
      </c>
      <c r="AK322" s="53" t="str">
        <f aca="false">IF(OR(AJ322="",AE322=""),"",AJ322-AE322)</f>
        <v/>
      </c>
      <c r="AL322" s="54" t="str">
        <f aca="false">IF(OR(AH322="",AF322=""),"",AH322-AF322)</f>
        <v/>
      </c>
      <c r="AM322" s="55" t="str">
        <f aca="false">IF(OR(A322="",K322&lt;&gt;"SI"),"",IF(AE322="","Sin objetivo",IF(AJ322="","Faltan datos",IF(AJ322&lt;0,"PÉRDIDA",IF(AK322&lt;-UMB_CRITICO,"MUY POR DEBAJO",IF(AK322&lt;-UMB_BAJO,"POR DEBAJO",IF(AK322&lt;-UMB_AJUSTADO,"AJUSTADO",IF(AK322&lt;=UMB_ALTO,"EN OBJETIVO","POR ENCIMA"))))))))</f>
        <v/>
      </c>
      <c r="AN322" s="44"/>
      <c r="AO322" s="44"/>
      <c r="AP322" s="46"/>
      <c r="AQ322" s="46"/>
      <c r="AR322" s="46"/>
      <c r="AS322" s="44"/>
      <c r="AT322" s="44"/>
      <c r="AU322" s="44"/>
      <c r="AV322" s="44"/>
      <c r="AW322" s="44"/>
      <c r="AX322" s="45"/>
      <c r="AY322" s="44"/>
      <c r="AZ322" s="56"/>
      <c r="BA322" s="45"/>
    </row>
    <row r="323" customFormat="false" ht="15" hidden="false" customHeight="false" outlineLevel="0" collapsed="false">
      <c r="A323" s="44"/>
      <c r="B323" s="44"/>
      <c r="C323" s="45"/>
      <c r="D323" s="45"/>
      <c r="E323" s="44"/>
      <c r="F323" s="44"/>
      <c r="G323" s="44"/>
      <c r="H323" s="44"/>
      <c r="I323" s="44"/>
      <c r="J323" s="44"/>
      <c r="K323" s="44"/>
      <c r="L323" s="44"/>
      <c r="M323" s="44"/>
      <c r="N323" s="44"/>
      <c r="O323" s="46"/>
      <c r="P323" s="44"/>
      <c r="Q323" s="46"/>
      <c r="R323" s="44"/>
      <c r="S323" s="45"/>
      <c r="T323" s="44"/>
      <c r="U323" s="44"/>
      <c r="V323" s="47"/>
      <c r="W323" s="48" t="str">
        <f aca="false">IF(V323="","",IFERROR(V323/O323,""))</f>
        <v/>
      </c>
      <c r="X323" s="44"/>
      <c r="Y323" s="46"/>
      <c r="Z323" s="49"/>
      <c r="AA323" s="44"/>
      <c r="AB323" s="50" t="str">
        <f aca="false">IFERROR(INDEX(TABLA_IVA!$C$3:$C$6,MATCH(AA323,TABLA_IVA!$A$3:$A$6,0)),"")</f>
        <v/>
      </c>
      <c r="AC323" s="47"/>
      <c r="AD323" s="44"/>
      <c r="AE323" s="51"/>
      <c r="AF323" s="52" t="str">
        <f aca="false">IF(OR(AC323="",AE323="",AB323=""),"",IFERROR(AC323/(1-AE323)*(1+AB323),""))</f>
        <v/>
      </c>
      <c r="AG323" s="47"/>
      <c r="AH323" s="52" t="str">
        <f aca="false">IF(AD323="FIJO",IF(AG323="","",AG323),IF(AF323&lt;&gt;"",AF323,IF(AG323="","",AG323)))</f>
        <v/>
      </c>
      <c r="AI323" s="52" t="str">
        <f aca="false">IF(OR(AH323="",AB323=""),"",IFERROR(AH323/(1+AB323),""))</f>
        <v/>
      </c>
      <c r="AJ323" s="50" t="str">
        <f aca="false">IF(OR(AI323="",AC323=""),"",IFERROR((AI323-AC323)/AI323,""))</f>
        <v/>
      </c>
      <c r="AK323" s="53" t="str">
        <f aca="false">IF(OR(AJ323="",AE323=""),"",AJ323-AE323)</f>
        <v/>
      </c>
      <c r="AL323" s="54" t="str">
        <f aca="false">IF(OR(AH323="",AF323=""),"",AH323-AF323)</f>
        <v/>
      </c>
      <c r="AM323" s="55" t="str">
        <f aca="false">IF(OR(A323="",K323&lt;&gt;"SI"),"",IF(AE323="","Sin objetivo",IF(AJ323="","Faltan datos",IF(AJ323&lt;0,"PÉRDIDA",IF(AK323&lt;-UMB_CRITICO,"MUY POR DEBAJO",IF(AK323&lt;-UMB_BAJO,"POR DEBAJO",IF(AK323&lt;-UMB_AJUSTADO,"AJUSTADO",IF(AK323&lt;=UMB_ALTO,"EN OBJETIVO","POR ENCIMA"))))))))</f>
        <v/>
      </c>
      <c r="AN323" s="44"/>
      <c r="AO323" s="44"/>
      <c r="AP323" s="46"/>
      <c r="AQ323" s="46"/>
      <c r="AR323" s="46"/>
      <c r="AS323" s="44"/>
      <c r="AT323" s="44"/>
      <c r="AU323" s="44"/>
      <c r="AV323" s="44"/>
      <c r="AW323" s="44"/>
      <c r="AX323" s="45"/>
      <c r="AY323" s="44"/>
      <c r="AZ323" s="56"/>
      <c r="BA323" s="45"/>
    </row>
    <row r="324" customFormat="false" ht="15" hidden="false" customHeight="false" outlineLevel="0" collapsed="false">
      <c r="A324" s="44"/>
      <c r="B324" s="44"/>
      <c r="C324" s="45"/>
      <c r="D324" s="45"/>
      <c r="E324" s="44"/>
      <c r="F324" s="44"/>
      <c r="G324" s="44"/>
      <c r="H324" s="44"/>
      <c r="I324" s="44"/>
      <c r="J324" s="44"/>
      <c r="K324" s="44"/>
      <c r="L324" s="44"/>
      <c r="M324" s="44"/>
      <c r="N324" s="44"/>
      <c r="O324" s="46"/>
      <c r="P324" s="44"/>
      <c r="Q324" s="46"/>
      <c r="R324" s="44"/>
      <c r="S324" s="45"/>
      <c r="T324" s="44"/>
      <c r="U324" s="44"/>
      <c r="V324" s="47"/>
      <c r="W324" s="48" t="str">
        <f aca="false">IF(V324="","",IFERROR(V324/O324,""))</f>
        <v/>
      </c>
      <c r="X324" s="44"/>
      <c r="Y324" s="46"/>
      <c r="Z324" s="49"/>
      <c r="AA324" s="44"/>
      <c r="AB324" s="50" t="str">
        <f aca="false">IFERROR(INDEX(TABLA_IVA!$C$3:$C$6,MATCH(AA324,TABLA_IVA!$A$3:$A$6,0)),"")</f>
        <v/>
      </c>
      <c r="AC324" s="47"/>
      <c r="AD324" s="44"/>
      <c r="AE324" s="51"/>
      <c r="AF324" s="52" t="str">
        <f aca="false">IF(OR(AC324="",AE324="",AB324=""),"",IFERROR(AC324/(1-AE324)*(1+AB324),""))</f>
        <v/>
      </c>
      <c r="AG324" s="47"/>
      <c r="AH324" s="52" t="str">
        <f aca="false">IF(AD324="FIJO",IF(AG324="","",AG324),IF(AF324&lt;&gt;"",AF324,IF(AG324="","",AG324)))</f>
        <v/>
      </c>
      <c r="AI324" s="52" t="str">
        <f aca="false">IF(OR(AH324="",AB324=""),"",IFERROR(AH324/(1+AB324),""))</f>
        <v/>
      </c>
      <c r="AJ324" s="50" t="str">
        <f aca="false">IF(OR(AI324="",AC324=""),"",IFERROR((AI324-AC324)/AI324,""))</f>
        <v/>
      </c>
      <c r="AK324" s="53" t="str">
        <f aca="false">IF(OR(AJ324="",AE324=""),"",AJ324-AE324)</f>
        <v/>
      </c>
      <c r="AL324" s="54" t="str">
        <f aca="false">IF(OR(AH324="",AF324=""),"",AH324-AF324)</f>
        <v/>
      </c>
      <c r="AM324" s="55" t="str">
        <f aca="false">IF(OR(A324="",K324&lt;&gt;"SI"),"",IF(AE324="","Sin objetivo",IF(AJ324="","Faltan datos",IF(AJ324&lt;0,"PÉRDIDA",IF(AK324&lt;-UMB_CRITICO,"MUY POR DEBAJO",IF(AK324&lt;-UMB_BAJO,"POR DEBAJO",IF(AK324&lt;-UMB_AJUSTADO,"AJUSTADO",IF(AK324&lt;=UMB_ALTO,"EN OBJETIVO","POR ENCIMA"))))))))</f>
        <v/>
      </c>
      <c r="AN324" s="44"/>
      <c r="AO324" s="44"/>
      <c r="AP324" s="46"/>
      <c r="AQ324" s="46"/>
      <c r="AR324" s="46"/>
      <c r="AS324" s="44"/>
      <c r="AT324" s="44"/>
      <c r="AU324" s="44"/>
      <c r="AV324" s="44"/>
      <c r="AW324" s="44"/>
      <c r="AX324" s="45"/>
      <c r="AY324" s="44"/>
      <c r="AZ324" s="56"/>
      <c r="BA324" s="45"/>
    </row>
    <row r="325" customFormat="false" ht="15" hidden="false" customHeight="false" outlineLevel="0" collapsed="false">
      <c r="A325" s="44"/>
      <c r="B325" s="44"/>
      <c r="C325" s="45"/>
      <c r="D325" s="45"/>
      <c r="E325" s="44"/>
      <c r="F325" s="44"/>
      <c r="G325" s="44"/>
      <c r="H325" s="44"/>
      <c r="I325" s="44"/>
      <c r="J325" s="44"/>
      <c r="K325" s="44"/>
      <c r="L325" s="44"/>
      <c r="M325" s="44"/>
      <c r="N325" s="44"/>
      <c r="O325" s="46"/>
      <c r="P325" s="44"/>
      <c r="Q325" s="46"/>
      <c r="R325" s="44"/>
      <c r="S325" s="45"/>
      <c r="T325" s="44"/>
      <c r="U325" s="44"/>
      <c r="V325" s="47"/>
      <c r="W325" s="48" t="str">
        <f aca="false">IF(V325="","",IFERROR(V325/O325,""))</f>
        <v/>
      </c>
      <c r="X325" s="44"/>
      <c r="Y325" s="46"/>
      <c r="Z325" s="49"/>
      <c r="AA325" s="44"/>
      <c r="AB325" s="50" t="str">
        <f aca="false">IFERROR(INDEX(TABLA_IVA!$C$3:$C$6,MATCH(AA325,TABLA_IVA!$A$3:$A$6,0)),"")</f>
        <v/>
      </c>
      <c r="AC325" s="47"/>
      <c r="AD325" s="44"/>
      <c r="AE325" s="51"/>
      <c r="AF325" s="52" t="str">
        <f aca="false">IF(OR(AC325="",AE325="",AB325=""),"",IFERROR(AC325/(1-AE325)*(1+AB325),""))</f>
        <v/>
      </c>
      <c r="AG325" s="47"/>
      <c r="AH325" s="52" t="str">
        <f aca="false">IF(AD325="FIJO",IF(AG325="","",AG325),IF(AF325&lt;&gt;"",AF325,IF(AG325="","",AG325)))</f>
        <v/>
      </c>
      <c r="AI325" s="52" t="str">
        <f aca="false">IF(OR(AH325="",AB325=""),"",IFERROR(AH325/(1+AB325),""))</f>
        <v/>
      </c>
      <c r="AJ325" s="50" t="str">
        <f aca="false">IF(OR(AI325="",AC325=""),"",IFERROR((AI325-AC325)/AI325,""))</f>
        <v/>
      </c>
      <c r="AK325" s="53" t="str">
        <f aca="false">IF(OR(AJ325="",AE325=""),"",AJ325-AE325)</f>
        <v/>
      </c>
      <c r="AL325" s="54" t="str">
        <f aca="false">IF(OR(AH325="",AF325=""),"",AH325-AF325)</f>
        <v/>
      </c>
      <c r="AM325" s="55" t="str">
        <f aca="false">IF(OR(A325="",K325&lt;&gt;"SI"),"",IF(AE325="","Sin objetivo",IF(AJ325="","Faltan datos",IF(AJ325&lt;0,"PÉRDIDA",IF(AK325&lt;-UMB_CRITICO,"MUY POR DEBAJO",IF(AK325&lt;-UMB_BAJO,"POR DEBAJO",IF(AK325&lt;-UMB_AJUSTADO,"AJUSTADO",IF(AK325&lt;=UMB_ALTO,"EN OBJETIVO","POR ENCIMA"))))))))</f>
        <v/>
      </c>
      <c r="AN325" s="44"/>
      <c r="AO325" s="44"/>
      <c r="AP325" s="46"/>
      <c r="AQ325" s="46"/>
      <c r="AR325" s="46"/>
      <c r="AS325" s="44"/>
      <c r="AT325" s="44"/>
      <c r="AU325" s="44"/>
      <c r="AV325" s="44"/>
      <c r="AW325" s="44"/>
      <c r="AX325" s="45"/>
      <c r="AY325" s="44"/>
      <c r="AZ325" s="56"/>
      <c r="BA325" s="45"/>
    </row>
    <row r="326" customFormat="false" ht="15" hidden="false" customHeight="false" outlineLevel="0" collapsed="false">
      <c r="A326" s="44"/>
      <c r="B326" s="44"/>
      <c r="C326" s="45"/>
      <c r="D326" s="45"/>
      <c r="E326" s="44"/>
      <c r="F326" s="44"/>
      <c r="G326" s="44"/>
      <c r="H326" s="44"/>
      <c r="I326" s="44"/>
      <c r="J326" s="44"/>
      <c r="K326" s="44"/>
      <c r="L326" s="44"/>
      <c r="M326" s="44"/>
      <c r="N326" s="44"/>
      <c r="O326" s="46"/>
      <c r="P326" s="44"/>
      <c r="Q326" s="46"/>
      <c r="R326" s="44"/>
      <c r="S326" s="45"/>
      <c r="T326" s="44"/>
      <c r="U326" s="44"/>
      <c r="V326" s="47"/>
      <c r="W326" s="48" t="str">
        <f aca="false">IF(V326="","",IFERROR(V326/O326,""))</f>
        <v/>
      </c>
      <c r="X326" s="44"/>
      <c r="Y326" s="46"/>
      <c r="Z326" s="49"/>
      <c r="AA326" s="44"/>
      <c r="AB326" s="50" t="str">
        <f aca="false">IFERROR(INDEX(TABLA_IVA!$C$3:$C$6,MATCH(AA326,TABLA_IVA!$A$3:$A$6,0)),"")</f>
        <v/>
      </c>
      <c r="AC326" s="47"/>
      <c r="AD326" s="44"/>
      <c r="AE326" s="51"/>
      <c r="AF326" s="52" t="str">
        <f aca="false">IF(OR(AC326="",AE326="",AB326=""),"",IFERROR(AC326/(1-AE326)*(1+AB326),""))</f>
        <v/>
      </c>
      <c r="AG326" s="47"/>
      <c r="AH326" s="52" t="str">
        <f aca="false">IF(AD326="FIJO",IF(AG326="","",AG326),IF(AF326&lt;&gt;"",AF326,IF(AG326="","",AG326)))</f>
        <v/>
      </c>
      <c r="AI326" s="52" t="str">
        <f aca="false">IF(OR(AH326="",AB326=""),"",IFERROR(AH326/(1+AB326),""))</f>
        <v/>
      </c>
      <c r="AJ326" s="50" t="str">
        <f aca="false">IF(OR(AI326="",AC326=""),"",IFERROR((AI326-AC326)/AI326,""))</f>
        <v/>
      </c>
      <c r="AK326" s="53" t="str">
        <f aca="false">IF(OR(AJ326="",AE326=""),"",AJ326-AE326)</f>
        <v/>
      </c>
      <c r="AL326" s="54" t="str">
        <f aca="false">IF(OR(AH326="",AF326=""),"",AH326-AF326)</f>
        <v/>
      </c>
      <c r="AM326" s="55" t="str">
        <f aca="false">IF(OR(A326="",K326&lt;&gt;"SI"),"",IF(AE326="","Sin objetivo",IF(AJ326="","Faltan datos",IF(AJ326&lt;0,"PÉRDIDA",IF(AK326&lt;-UMB_CRITICO,"MUY POR DEBAJO",IF(AK326&lt;-UMB_BAJO,"POR DEBAJO",IF(AK326&lt;-UMB_AJUSTADO,"AJUSTADO",IF(AK326&lt;=UMB_ALTO,"EN OBJETIVO","POR ENCIMA"))))))))</f>
        <v/>
      </c>
      <c r="AN326" s="44"/>
      <c r="AO326" s="44"/>
      <c r="AP326" s="46"/>
      <c r="AQ326" s="46"/>
      <c r="AR326" s="46"/>
      <c r="AS326" s="44"/>
      <c r="AT326" s="44"/>
      <c r="AU326" s="44"/>
      <c r="AV326" s="44"/>
      <c r="AW326" s="44"/>
      <c r="AX326" s="45"/>
      <c r="AY326" s="44"/>
      <c r="AZ326" s="56"/>
      <c r="BA326" s="45"/>
    </row>
    <row r="327" customFormat="false" ht="15" hidden="false" customHeight="false" outlineLevel="0" collapsed="false">
      <c r="A327" s="44"/>
      <c r="B327" s="44"/>
      <c r="C327" s="45"/>
      <c r="D327" s="45"/>
      <c r="E327" s="44"/>
      <c r="F327" s="44"/>
      <c r="G327" s="44"/>
      <c r="H327" s="44"/>
      <c r="I327" s="44"/>
      <c r="J327" s="44"/>
      <c r="K327" s="44"/>
      <c r="L327" s="44"/>
      <c r="M327" s="44"/>
      <c r="N327" s="44"/>
      <c r="O327" s="46"/>
      <c r="P327" s="44"/>
      <c r="Q327" s="46"/>
      <c r="R327" s="44"/>
      <c r="S327" s="45"/>
      <c r="T327" s="44"/>
      <c r="U327" s="44"/>
      <c r="V327" s="47"/>
      <c r="W327" s="48" t="str">
        <f aca="false">IF(V327="","",IFERROR(V327/O327,""))</f>
        <v/>
      </c>
      <c r="X327" s="44"/>
      <c r="Y327" s="46"/>
      <c r="Z327" s="49"/>
      <c r="AA327" s="44"/>
      <c r="AB327" s="50" t="str">
        <f aca="false">IFERROR(INDEX(TABLA_IVA!$C$3:$C$6,MATCH(AA327,TABLA_IVA!$A$3:$A$6,0)),"")</f>
        <v/>
      </c>
      <c r="AC327" s="47"/>
      <c r="AD327" s="44"/>
      <c r="AE327" s="51"/>
      <c r="AF327" s="52" t="str">
        <f aca="false">IF(OR(AC327="",AE327="",AB327=""),"",IFERROR(AC327/(1-AE327)*(1+AB327),""))</f>
        <v/>
      </c>
      <c r="AG327" s="47"/>
      <c r="AH327" s="52" t="str">
        <f aca="false">IF(AD327="FIJO",IF(AG327="","",AG327),IF(AF327&lt;&gt;"",AF327,IF(AG327="","",AG327)))</f>
        <v/>
      </c>
      <c r="AI327" s="52" t="str">
        <f aca="false">IF(OR(AH327="",AB327=""),"",IFERROR(AH327/(1+AB327),""))</f>
        <v/>
      </c>
      <c r="AJ327" s="50" t="str">
        <f aca="false">IF(OR(AI327="",AC327=""),"",IFERROR((AI327-AC327)/AI327,""))</f>
        <v/>
      </c>
      <c r="AK327" s="53" t="str">
        <f aca="false">IF(OR(AJ327="",AE327=""),"",AJ327-AE327)</f>
        <v/>
      </c>
      <c r="AL327" s="54" t="str">
        <f aca="false">IF(OR(AH327="",AF327=""),"",AH327-AF327)</f>
        <v/>
      </c>
      <c r="AM327" s="55" t="str">
        <f aca="false">IF(OR(A327="",K327&lt;&gt;"SI"),"",IF(AE327="","Sin objetivo",IF(AJ327="","Faltan datos",IF(AJ327&lt;0,"PÉRDIDA",IF(AK327&lt;-UMB_CRITICO,"MUY POR DEBAJO",IF(AK327&lt;-UMB_BAJO,"POR DEBAJO",IF(AK327&lt;-UMB_AJUSTADO,"AJUSTADO",IF(AK327&lt;=UMB_ALTO,"EN OBJETIVO","POR ENCIMA"))))))))</f>
        <v/>
      </c>
      <c r="AN327" s="44"/>
      <c r="AO327" s="44"/>
      <c r="AP327" s="46"/>
      <c r="AQ327" s="46"/>
      <c r="AR327" s="46"/>
      <c r="AS327" s="44"/>
      <c r="AT327" s="44"/>
      <c r="AU327" s="44"/>
      <c r="AV327" s="44"/>
      <c r="AW327" s="44"/>
      <c r="AX327" s="45"/>
      <c r="AY327" s="44"/>
      <c r="AZ327" s="56"/>
      <c r="BA327" s="45"/>
    </row>
    <row r="328" customFormat="false" ht="15" hidden="false" customHeight="false" outlineLevel="0" collapsed="false">
      <c r="A328" s="44"/>
      <c r="B328" s="44"/>
      <c r="C328" s="45"/>
      <c r="D328" s="45"/>
      <c r="E328" s="44"/>
      <c r="F328" s="44"/>
      <c r="G328" s="44"/>
      <c r="H328" s="44"/>
      <c r="I328" s="44"/>
      <c r="J328" s="44"/>
      <c r="K328" s="44"/>
      <c r="L328" s="44"/>
      <c r="M328" s="44"/>
      <c r="N328" s="44"/>
      <c r="O328" s="46"/>
      <c r="P328" s="44"/>
      <c r="Q328" s="46"/>
      <c r="R328" s="44"/>
      <c r="S328" s="45"/>
      <c r="T328" s="44"/>
      <c r="U328" s="44"/>
      <c r="V328" s="47"/>
      <c r="W328" s="48" t="str">
        <f aca="false">IF(V328="","",IFERROR(V328/O328,""))</f>
        <v/>
      </c>
      <c r="X328" s="44"/>
      <c r="Y328" s="46"/>
      <c r="Z328" s="49"/>
      <c r="AA328" s="44"/>
      <c r="AB328" s="50" t="str">
        <f aca="false">IFERROR(INDEX(TABLA_IVA!$C$3:$C$6,MATCH(AA328,TABLA_IVA!$A$3:$A$6,0)),"")</f>
        <v/>
      </c>
      <c r="AC328" s="47"/>
      <c r="AD328" s="44"/>
      <c r="AE328" s="51"/>
      <c r="AF328" s="52" t="str">
        <f aca="false">IF(OR(AC328="",AE328="",AB328=""),"",IFERROR(AC328/(1-AE328)*(1+AB328),""))</f>
        <v/>
      </c>
      <c r="AG328" s="47"/>
      <c r="AH328" s="52" t="str">
        <f aca="false">IF(AD328="FIJO",IF(AG328="","",AG328),IF(AF328&lt;&gt;"",AF328,IF(AG328="","",AG328)))</f>
        <v/>
      </c>
      <c r="AI328" s="52" t="str">
        <f aca="false">IF(OR(AH328="",AB328=""),"",IFERROR(AH328/(1+AB328),""))</f>
        <v/>
      </c>
      <c r="AJ328" s="50" t="str">
        <f aca="false">IF(OR(AI328="",AC328=""),"",IFERROR((AI328-AC328)/AI328,""))</f>
        <v/>
      </c>
      <c r="AK328" s="53" t="str">
        <f aca="false">IF(OR(AJ328="",AE328=""),"",AJ328-AE328)</f>
        <v/>
      </c>
      <c r="AL328" s="54" t="str">
        <f aca="false">IF(OR(AH328="",AF328=""),"",AH328-AF328)</f>
        <v/>
      </c>
      <c r="AM328" s="55" t="str">
        <f aca="false">IF(OR(A328="",K328&lt;&gt;"SI"),"",IF(AE328="","Sin objetivo",IF(AJ328="","Faltan datos",IF(AJ328&lt;0,"PÉRDIDA",IF(AK328&lt;-UMB_CRITICO,"MUY POR DEBAJO",IF(AK328&lt;-UMB_BAJO,"POR DEBAJO",IF(AK328&lt;-UMB_AJUSTADO,"AJUSTADO",IF(AK328&lt;=UMB_ALTO,"EN OBJETIVO","POR ENCIMA"))))))))</f>
        <v/>
      </c>
      <c r="AN328" s="44"/>
      <c r="AO328" s="44"/>
      <c r="AP328" s="46"/>
      <c r="AQ328" s="46"/>
      <c r="AR328" s="46"/>
      <c r="AS328" s="44"/>
      <c r="AT328" s="44"/>
      <c r="AU328" s="44"/>
      <c r="AV328" s="44"/>
      <c r="AW328" s="44"/>
      <c r="AX328" s="45"/>
      <c r="AY328" s="44"/>
      <c r="AZ328" s="56"/>
      <c r="BA328" s="45"/>
    </row>
    <row r="329" customFormat="false" ht="15" hidden="false" customHeight="false" outlineLevel="0" collapsed="false">
      <c r="A329" s="44"/>
      <c r="B329" s="44"/>
      <c r="C329" s="45"/>
      <c r="D329" s="45"/>
      <c r="E329" s="44"/>
      <c r="F329" s="44"/>
      <c r="G329" s="44"/>
      <c r="H329" s="44"/>
      <c r="I329" s="44"/>
      <c r="J329" s="44"/>
      <c r="K329" s="44"/>
      <c r="L329" s="44"/>
      <c r="M329" s="44"/>
      <c r="N329" s="44"/>
      <c r="O329" s="46"/>
      <c r="P329" s="44"/>
      <c r="Q329" s="46"/>
      <c r="R329" s="44"/>
      <c r="S329" s="45"/>
      <c r="T329" s="44"/>
      <c r="U329" s="44"/>
      <c r="V329" s="47"/>
      <c r="W329" s="48" t="str">
        <f aca="false">IF(V329="","",IFERROR(V329/O329,""))</f>
        <v/>
      </c>
      <c r="X329" s="44"/>
      <c r="Y329" s="46"/>
      <c r="Z329" s="49"/>
      <c r="AA329" s="44"/>
      <c r="AB329" s="50" t="str">
        <f aca="false">IFERROR(INDEX(TABLA_IVA!$C$3:$C$6,MATCH(AA329,TABLA_IVA!$A$3:$A$6,0)),"")</f>
        <v/>
      </c>
      <c r="AC329" s="47"/>
      <c r="AD329" s="44"/>
      <c r="AE329" s="51"/>
      <c r="AF329" s="52" t="str">
        <f aca="false">IF(OR(AC329="",AE329="",AB329=""),"",IFERROR(AC329/(1-AE329)*(1+AB329),""))</f>
        <v/>
      </c>
      <c r="AG329" s="47"/>
      <c r="AH329" s="52" t="str">
        <f aca="false">IF(AD329="FIJO",IF(AG329="","",AG329),IF(AF329&lt;&gt;"",AF329,IF(AG329="","",AG329)))</f>
        <v/>
      </c>
      <c r="AI329" s="52" t="str">
        <f aca="false">IF(OR(AH329="",AB329=""),"",IFERROR(AH329/(1+AB329),""))</f>
        <v/>
      </c>
      <c r="AJ329" s="50" t="str">
        <f aca="false">IF(OR(AI329="",AC329=""),"",IFERROR((AI329-AC329)/AI329,""))</f>
        <v/>
      </c>
      <c r="AK329" s="53" t="str">
        <f aca="false">IF(OR(AJ329="",AE329=""),"",AJ329-AE329)</f>
        <v/>
      </c>
      <c r="AL329" s="54" t="str">
        <f aca="false">IF(OR(AH329="",AF329=""),"",AH329-AF329)</f>
        <v/>
      </c>
      <c r="AM329" s="55" t="str">
        <f aca="false">IF(OR(A329="",K329&lt;&gt;"SI"),"",IF(AE329="","Sin objetivo",IF(AJ329="","Faltan datos",IF(AJ329&lt;0,"PÉRDIDA",IF(AK329&lt;-UMB_CRITICO,"MUY POR DEBAJO",IF(AK329&lt;-UMB_BAJO,"POR DEBAJO",IF(AK329&lt;-UMB_AJUSTADO,"AJUSTADO",IF(AK329&lt;=UMB_ALTO,"EN OBJETIVO","POR ENCIMA"))))))))</f>
        <v/>
      </c>
      <c r="AN329" s="44"/>
      <c r="AO329" s="44"/>
      <c r="AP329" s="46"/>
      <c r="AQ329" s="46"/>
      <c r="AR329" s="46"/>
      <c r="AS329" s="44"/>
      <c r="AT329" s="44"/>
      <c r="AU329" s="44"/>
      <c r="AV329" s="44"/>
      <c r="AW329" s="44"/>
      <c r="AX329" s="45"/>
      <c r="AY329" s="44"/>
      <c r="AZ329" s="56"/>
      <c r="BA329" s="45"/>
    </row>
    <row r="330" customFormat="false" ht="15" hidden="false" customHeight="false" outlineLevel="0" collapsed="false">
      <c r="A330" s="44"/>
      <c r="B330" s="44"/>
      <c r="C330" s="45"/>
      <c r="D330" s="45"/>
      <c r="E330" s="44"/>
      <c r="F330" s="44"/>
      <c r="G330" s="44"/>
      <c r="H330" s="44"/>
      <c r="I330" s="44"/>
      <c r="J330" s="44"/>
      <c r="K330" s="44"/>
      <c r="L330" s="44"/>
      <c r="M330" s="44"/>
      <c r="N330" s="44"/>
      <c r="O330" s="46"/>
      <c r="P330" s="44"/>
      <c r="Q330" s="46"/>
      <c r="R330" s="44"/>
      <c r="S330" s="45"/>
      <c r="T330" s="44"/>
      <c r="U330" s="44"/>
      <c r="V330" s="47"/>
      <c r="W330" s="48" t="str">
        <f aca="false">IF(V330="","",IFERROR(V330/O330,""))</f>
        <v/>
      </c>
      <c r="X330" s="44"/>
      <c r="Y330" s="46"/>
      <c r="Z330" s="49"/>
      <c r="AA330" s="44"/>
      <c r="AB330" s="50" t="str">
        <f aca="false">IFERROR(INDEX(TABLA_IVA!$C$3:$C$6,MATCH(AA330,TABLA_IVA!$A$3:$A$6,0)),"")</f>
        <v/>
      </c>
      <c r="AC330" s="47"/>
      <c r="AD330" s="44"/>
      <c r="AE330" s="51"/>
      <c r="AF330" s="52" t="str">
        <f aca="false">IF(OR(AC330="",AE330="",AB330=""),"",IFERROR(AC330/(1-AE330)*(1+AB330),""))</f>
        <v/>
      </c>
      <c r="AG330" s="47"/>
      <c r="AH330" s="52" t="str">
        <f aca="false">IF(AD330="FIJO",IF(AG330="","",AG330),IF(AF330&lt;&gt;"",AF330,IF(AG330="","",AG330)))</f>
        <v/>
      </c>
      <c r="AI330" s="52" t="str">
        <f aca="false">IF(OR(AH330="",AB330=""),"",IFERROR(AH330/(1+AB330),""))</f>
        <v/>
      </c>
      <c r="AJ330" s="50" t="str">
        <f aca="false">IF(OR(AI330="",AC330=""),"",IFERROR((AI330-AC330)/AI330,""))</f>
        <v/>
      </c>
      <c r="AK330" s="53" t="str">
        <f aca="false">IF(OR(AJ330="",AE330=""),"",AJ330-AE330)</f>
        <v/>
      </c>
      <c r="AL330" s="54" t="str">
        <f aca="false">IF(OR(AH330="",AF330=""),"",AH330-AF330)</f>
        <v/>
      </c>
      <c r="AM330" s="55" t="str">
        <f aca="false">IF(OR(A330="",K330&lt;&gt;"SI"),"",IF(AE330="","Sin objetivo",IF(AJ330="","Faltan datos",IF(AJ330&lt;0,"PÉRDIDA",IF(AK330&lt;-UMB_CRITICO,"MUY POR DEBAJO",IF(AK330&lt;-UMB_BAJO,"POR DEBAJO",IF(AK330&lt;-UMB_AJUSTADO,"AJUSTADO",IF(AK330&lt;=UMB_ALTO,"EN OBJETIVO","POR ENCIMA"))))))))</f>
        <v/>
      </c>
      <c r="AN330" s="44"/>
      <c r="AO330" s="44"/>
      <c r="AP330" s="46"/>
      <c r="AQ330" s="46"/>
      <c r="AR330" s="46"/>
      <c r="AS330" s="44"/>
      <c r="AT330" s="44"/>
      <c r="AU330" s="44"/>
      <c r="AV330" s="44"/>
      <c r="AW330" s="44"/>
      <c r="AX330" s="45"/>
      <c r="AY330" s="44"/>
      <c r="AZ330" s="56"/>
      <c r="BA330" s="45"/>
    </row>
    <row r="331" customFormat="false" ht="15" hidden="false" customHeight="false" outlineLevel="0" collapsed="false">
      <c r="A331" s="44"/>
      <c r="B331" s="44"/>
      <c r="C331" s="45"/>
      <c r="D331" s="45"/>
      <c r="E331" s="44"/>
      <c r="F331" s="44"/>
      <c r="G331" s="44"/>
      <c r="H331" s="44"/>
      <c r="I331" s="44"/>
      <c r="J331" s="44"/>
      <c r="K331" s="44"/>
      <c r="L331" s="44"/>
      <c r="M331" s="44"/>
      <c r="N331" s="44"/>
      <c r="O331" s="46"/>
      <c r="P331" s="44"/>
      <c r="Q331" s="46"/>
      <c r="R331" s="44"/>
      <c r="S331" s="45"/>
      <c r="T331" s="44"/>
      <c r="U331" s="44"/>
      <c r="V331" s="47"/>
      <c r="W331" s="48" t="str">
        <f aca="false">IF(V331="","",IFERROR(V331/O331,""))</f>
        <v/>
      </c>
      <c r="X331" s="44"/>
      <c r="Y331" s="46"/>
      <c r="Z331" s="49"/>
      <c r="AA331" s="44"/>
      <c r="AB331" s="50" t="str">
        <f aca="false">IFERROR(INDEX(TABLA_IVA!$C$3:$C$6,MATCH(AA331,TABLA_IVA!$A$3:$A$6,0)),"")</f>
        <v/>
      </c>
      <c r="AC331" s="47"/>
      <c r="AD331" s="44"/>
      <c r="AE331" s="51"/>
      <c r="AF331" s="52" t="str">
        <f aca="false">IF(OR(AC331="",AE331="",AB331=""),"",IFERROR(AC331/(1-AE331)*(1+AB331),""))</f>
        <v/>
      </c>
      <c r="AG331" s="47"/>
      <c r="AH331" s="52" t="str">
        <f aca="false">IF(AD331="FIJO",IF(AG331="","",AG331),IF(AF331&lt;&gt;"",AF331,IF(AG331="","",AG331)))</f>
        <v/>
      </c>
      <c r="AI331" s="52" t="str">
        <f aca="false">IF(OR(AH331="",AB331=""),"",IFERROR(AH331/(1+AB331),""))</f>
        <v/>
      </c>
      <c r="AJ331" s="50" t="str">
        <f aca="false">IF(OR(AI331="",AC331=""),"",IFERROR((AI331-AC331)/AI331,""))</f>
        <v/>
      </c>
      <c r="AK331" s="53" t="str">
        <f aca="false">IF(OR(AJ331="",AE331=""),"",AJ331-AE331)</f>
        <v/>
      </c>
      <c r="AL331" s="54" t="str">
        <f aca="false">IF(OR(AH331="",AF331=""),"",AH331-AF331)</f>
        <v/>
      </c>
      <c r="AM331" s="55" t="str">
        <f aca="false">IF(OR(A331="",K331&lt;&gt;"SI"),"",IF(AE331="","Sin objetivo",IF(AJ331="","Faltan datos",IF(AJ331&lt;0,"PÉRDIDA",IF(AK331&lt;-UMB_CRITICO,"MUY POR DEBAJO",IF(AK331&lt;-UMB_BAJO,"POR DEBAJO",IF(AK331&lt;-UMB_AJUSTADO,"AJUSTADO",IF(AK331&lt;=UMB_ALTO,"EN OBJETIVO","POR ENCIMA"))))))))</f>
        <v/>
      </c>
      <c r="AN331" s="44"/>
      <c r="AO331" s="44"/>
      <c r="AP331" s="46"/>
      <c r="AQ331" s="46"/>
      <c r="AR331" s="46"/>
      <c r="AS331" s="44"/>
      <c r="AT331" s="44"/>
      <c r="AU331" s="44"/>
      <c r="AV331" s="44"/>
      <c r="AW331" s="44"/>
      <c r="AX331" s="45"/>
      <c r="AY331" s="44"/>
      <c r="AZ331" s="56"/>
      <c r="BA331" s="45"/>
    </row>
    <row r="332" customFormat="false" ht="15" hidden="false" customHeight="false" outlineLevel="0" collapsed="false">
      <c r="A332" s="44"/>
      <c r="B332" s="44"/>
      <c r="C332" s="45"/>
      <c r="D332" s="45"/>
      <c r="E332" s="44"/>
      <c r="F332" s="44"/>
      <c r="G332" s="44"/>
      <c r="H332" s="44"/>
      <c r="I332" s="44"/>
      <c r="J332" s="44"/>
      <c r="K332" s="44"/>
      <c r="L332" s="44"/>
      <c r="M332" s="44"/>
      <c r="N332" s="44"/>
      <c r="O332" s="46"/>
      <c r="P332" s="44"/>
      <c r="Q332" s="46"/>
      <c r="R332" s="44"/>
      <c r="S332" s="45"/>
      <c r="T332" s="44"/>
      <c r="U332" s="44"/>
      <c r="V332" s="47"/>
      <c r="W332" s="48" t="str">
        <f aca="false">IF(V332="","",IFERROR(V332/O332,""))</f>
        <v/>
      </c>
      <c r="X332" s="44"/>
      <c r="Y332" s="46"/>
      <c r="Z332" s="49"/>
      <c r="AA332" s="44"/>
      <c r="AB332" s="50" t="str">
        <f aca="false">IFERROR(INDEX(TABLA_IVA!$C$3:$C$6,MATCH(AA332,TABLA_IVA!$A$3:$A$6,0)),"")</f>
        <v/>
      </c>
      <c r="AC332" s="47"/>
      <c r="AD332" s="44"/>
      <c r="AE332" s="51"/>
      <c r="AF332" s="52" t="str">
        <f aca="false">IF(OR(AC332="",AE332="",AB332=""),"",IFERROR(AC332/(1-AE332)*(1+AB332),""))</f>
        <v/>
      </c>
      <c r="AG332" s="47"/>
      <c r="AH332" s="52" t="str">
        <f aca="false">IF(AD332="FIJO",IF(AG332="","",AG332),IF(AF332&lt;&gt;"",AF332,IF(AG332="","",AG332)))</f>
        <v/>
      </c>
      <c r="AI332" s="52" t="str">
        <f aca="false">IF(OR(AH332="",AB332=""),"",IFERROR(AH332/(1+AB332),""))</f>
        <v/>
      </c>
      <c r="AJ332" s="50" t="str">
        <f aca="false">IF(OR(AI332="",AC332=""),"",IFERROR((AI332-AC332)/AI332,""))</f>
        <v/>
      </c>
      <c r="AK332" s="53" t="str">
        <f aca="false">IF(OR(AJ332="",AE332=""),"",AJ332-AE332)</f>
        <v/>
      </c>
      <c r="AL332" s="54" t="str">
        <f aca="false">IF(OR(AH332="",AF332=""),"",AH332-AF332)</f>
        <v/>
      </c>
      <c r="AM332" s="55" t="str">
        <f aca="false">IF(OR(A332="",K332&lt;&gt;"SI"),"",IF(AE332="","Sin objetivo",IF(AJ332="","Faltan datos",IF(AJ332&lt;0,"PÉRDIDA",IF(AK332&lt;-UMB_CRITICO,"MUY POR DEBAJO",IF(AK332&lt;-UMB_BAJO,"POR DEBAJO",IF(AK332&lt;-UMB_AJUSTADO,"AJUSTADO",IF(AK332&lt;=UMB_ALTO,"EN OBJETIVO","POR ENCIMA"))))))))</f>
        <v/>
      </c>
      <c r="AN332" s="44"/>
      <c r="AO332" s="44"/>
      <c r="AP332" s="46"/>
      <c r="AQ332" s="46"/>
      <c r="AR332" s="46"/>
      <c r="AS332" s="44"/>
      <c r="AT332" s="44"/>
      <c r="AU332" s="44"/>
      <c r="AV332" s="44"/>
      <c r="AW332" s="44"/>
      <c r="AX332" s="45"/>
      <c r="AY332" s="44"/>
      <c r="AZ332" s="56"/>
      <c r="BA332" s="45"/>
    </row>
    <row r="333" customFormat="false" ht="15" hidden="false" customHeight="false" outlineLevel="0" collapsed="false">
      <c r="A333" s="44"/>
      <c r="B333" s="44"/>
      <c r="C333" s="45"/>
      <c r="D333" s="45"/>
      <c r="E333" s="44"/>
      <c r="F333" s="44"/>
      <c r="G333" s="44"/>
      <c r="H333" s="44"/>
      <c r="I333" s="44"/>
      <c r="J333" s="44"/>
      <c r="K333" s="44"/>
      <c r="L333" s="44"/>
      <c r="M333" s="44"/>
      <c r="N333" s="44"/>
      <c r="O333" s="46"/>
      <c r="P333" s="44"/>
      <c r="Q333" s="46"/>
      <c r="R333" s="44"/>
      <c r="S333" s="45"/>
      <c r="T333" s="44"/>
      <c r="U333" s="44"/>
      <c r="V333" s="47"/>
      <c r="W333" s="48" t="str">
        <f aca="false">IF(V333="","",IFERROR(V333/O333,""))</f>
        <v/>
      </c>
      <c r="X333" s="44"/>
      <c r="Y333" s="46"/>
      <c r="Z333" s="49"/>
      <c r="AA333" s="44"/>
      <c r="AB333" s="50" t="str">
        <f aca="false">IFERROR(INDEX(TABLA_IVA!$C$3:$C$6,MATCH(AA333,TABLA_IVA!$A$3:$A$6,0)),"")</f>
        <v/>
      </c>
      <c r="AC333" s="47"/>
      <c r="AD333" s="44"/>
      <c r="AE333" s="51"/>
      <c r="AF333" s="52" t="str">
        <f aca="false">IF(OR(AC333="",AE333="",AB333=""),"",IFERROR(AC333/(1-AE333)*(1+AB333),""))</f>
        <v/>
      </c>
      <c r="AG333" s="47"/>
      <c r="AH333" s="52" t="str">
        <f aca="false">IF(AD333="FIJO",IF(AG333="","",AG333),IF(AF333&lt;&gt;"",AF333,IF(AG333="","",AG333)))</f>
        <v/>
      </c>
      <c r="AI333" s="52" t="str">
        <f aca="false">IF(OR(AH333="",AB333=""),"",IFERROR(AH333/(1+AB333),""))</f>
        <v/>
      </c>
      <c r="AJ333" s="50" t="str">
        <f aca="false">IF(OR(AI333="",AC333=""),"",IFERROR((AI333-AC333)/AI333,""))</f>
        <v/>
      </c>
      <c r="AK333" s="53" t="str">
        <f aca="false">IF(OR(AJ333="",AE333=""),"",AJ333-AE333)</f>
        <v/>
      </c>
      <c r="AL333" s="54" t="str">
        <f aca="false">IF(OR(AH333="",AF333=""),"",AH333-AF333)</f>
        <v/>
      </c>
      <c r="AM333" s="55" t="str">
        <f aca="false">IF(OR(A333="",K333&lt;&gt;"SI"),"",IF(AE333="","Sin objetivo",IF(AJ333="","Faltan datos",IF(AJ333&lt;0,"PÉRDIDA",IF(AK333&lt;-UMB_CRITICO,"MUY POR DEBAJO",IF(AK333&lt;-UMB_BAJO,"POR DEBAJO",IF(AK333&lt;-UMB_AJUSTADO,"AJUSTADO",IF(AK333&lt;=UMB_ALTO,"EN OBJETIVO","POR ENCIMA"))))))))</f>
        <v/>
      </c>
      <c r="AN333" s="44"/>
      <c r="AO333" s="44"/>
      <c r="AP333" s="46"/>
      <c r="AQ333" s="46"/>
      <c r="AR333" s="46"/>
      <c r="AS333" s="44"/>
      <c r="AT333" s="44"/>
      <c r="AU333" s="44"/>
      <c r="AV333" s="44"/>
      <c r="AW333" s="44"/>
      <c r="AX333" s="45"/>
      <c r="AY333" s="44"/>
      <c r="AZ333" s="56"/>
      <c r="BA333" s="45"/>
    </row>
    <row r="334" customFormat="false" ht="15" hidden="false" customHeight="false" outlineLevel="0" collapsed="false">
      <c r="A334" s="44"/>
      <c r="B334" s="44"/>
      <c r="C334" s="45"/>
      <c r="D334" s="45"/>
      <c r="E334" s="44"/>
      <c r="F334" s="44"/>
      <c r="G334" s="44"/>
      <c r="H334" s="44"/>
      <c r="I334" s="44"/>
      <c r="J334" s="44"/>
      <c r="K334" s="44"/>
      <c r="L334" s="44"/>
      <c r="M334" s="44"/>
      <c r="N334" s="44"/>
      <c r="O334" s="46"/>
      <c r="P334" s="44"/>
      <c r="Q334" s="46"/>
      <c r="R334" s="44"/>
      <c r="S334" s="45"/>
      <c r="T334" s="44"/>
      <c r="U334" s="44"/>
      <c r="V334" s="47"/>
      <c r="W334" s="48" t="str">
        <f aca="false">IF(V334="","",IFERROR(V334/O334,""))</f>
        <v/>
      </c>
      <c r="X334" s="44"/>
      <c r="Y334" s="46"/>
      <c r="Z334" s="49"/>
      <c r="AA334" s="44"/>
      <c r="AB334" s="50" t="str">
        <f aca="false">IFERROR(INDEX(TABLA_IVA!$C$3:$C$6,MATCH(AA334,TABLA_IVA!$A$3:$A$6,0)),"")</f>
        <v/>
      </c>
      <c r="AC334" s="47"/>
      <c r="AD334" s="44"/>
      <c r="AE334" s="51"/>
      <c r="AF334" s="52" t="str">
        <f aca="false">IF(OR(AC334="",AE334="",AB334=""),"",IFERROR(AC334/(1-AE334)*(1+AB334),""))</f>
        <v/>
      </c>
      <c r="AG334" s="47"/>
      <c r="AH334" s="52" t="str">
        <f aca="false">IF(AD334="FIJO",IF(AG334="","",AG334),IF(AF334&lt;&gt;"",AF334,IF(AG334="","",AG334)))</f>
        <v/>
      </c>
      <c r="AI334" s="52" t="str">
        <f aca="false">IF(OR(AH334="",AB334=""),"",IFERROR(AH334/(1+AB334),""))</f>
        <v/>
      </c>
      <c r="AJ334" s="50" t="str">
        <f aca="false">IF(OR(AI334="",AC334=""),"",IFERROR((AI334-AC334)/AI334,""))</f>
        <v/>
      </c>
      <c r="AK334" s="53" t="str">
        <f aca="false">IF(OR(AJ334="",AE334=""),"",AJ334-AE334)</f>
        <v/>
      </c>
      <c r="AL334" s="54" t="str">
        <f aca="false">IF(OR(AH334="",AF334=""),"",AH334-AF334)</f>
        <v/>
      </c>
      <c r="AM334" s="55" t="str">
        <f aca="false">IF(OR(A334="",K334&lt;&gt;"SI"),"",IF(AE334="","Sin objetivo",IF(AJ334="","Faltan datos",IF(AJ334&lt;0,"PÉRDIDA",IF(AK334&lt;-UMB_CRITICO,"MUY POR DEBAJO",IF(AK334&lt;-UMB_BAJO,"POR DEBAJO",IF(AK334&lt;-UMB_AJUSTADO,"AJUSTADO",IF(AK334&lt;=UMB_ALTO,"EN OBJETIVO","POR ENCIMA"))))))))</f>
        <v/>
      </c>
      <c r="AN334" s="44"/>
      <c r="AO334" s="44"/>
      <c r="AP334" s="46"/>
      <c r="AQ334" s="46"/>
      <c r="AR334" s="46"/>
      <c r="AS334" s="44"/>
      <c r="AT334" s="44"/>
      <c r="AU334" s="44"/>
      <c r="AV334" s="44"/>
      <c r="AW334" s="44"/>
      <c r="AX334" s="45"/>
      <c r="AY334" s="44"/>
      <c r="AZ334" s="56"/>
      <c r="BA334" s="45"/>
    </row>
    <row r="335" customFormat="false" ht="15" hidden="false" customHeight="false" outlineLevel="0" collapsed="false">
      <c r="A335" s="44"/>
      <c r="B335" s="44"/>
      <c r="C335" s="45"/>
      <c r="D335" s="45"/>
      <c r="E335" s="44"/>
      <c r="F335" s="44"/>
      <c r="G335" s="44"/>
      <c r="H335" s="44"/>
      <c r="I335" s="44"/>
      <c r="J335" s="44"/>
      <c r="K335" s="44"/>
      <c r="L335" s="44"/>
      <c r="M335" s="44"/>
      <c r="N335" s="44"/>
      <c r="O335" s="46"/>
      <c r="P335" s="44"/>
      <c r="Q335" s="46"/>
      <c r="R335" s="44"/>
      <c r="S335" s="45"/>
      <c r="T335" s="44"/>
      <c r="U335" s="44"/>
      <c r="V335" s="47"/>
      <c r="W335" s="48" t="str">
        <f aca="false">IF(V335="","",IFERROR(V335/O335,""))</f>
        <v/>
      </c>
      <c r="X335" s="44"/>
      <c r="Y335" s="46"/>
      <c r="Z335" s="49"/>
      <c r="AA335" s="44"/>
      <c r="AB335" s="50" t="str">
        <f aca="false">IFERROR(INDEX(TABLA_IVA!$C$3:$C$6,MATCH(AA335,TABLA_IVA!$A$3:$A$6,0)),"")</f>
        <v/>
      </c>
      <c r="AC335" s="47"/>
      <c r="AD335" s="44"/>
      <c r="AE335" s="51"/>
      <c r="AF335" s="52" t="str">
        <f aca="false">IF(OR(AC335="",AE335="",AB335=""),"",IFERROR(AC335/(1-AE335)*(1+AB335),""))</f>
        <v/>
      </c>
      <c r="AG335" s="47"/>
      <c r="AH335" s="52" t="str">
        <f aca="false">IF(AD335="FIJO",IF(AG335="","",AG335),IF(AF335&lt;&gt;"",AF335,IF(AG335="","",AG335)))</f>
        <v/>
      </c>
      <c r="AI335" s="52" t="str">
        <f aca="false">IF(OR(AH335="",AB335=""),"",IFERROR(AH335/(1+AB335),""))</f>
        <v/>
      </c>
      <c r="AJ335" s="50" t="str">
        <f aca="false">IF(OR(AI335="",AC335=""),"",IFERROR((AI335-AC335)/AI335,""))</f>
        <v/>
      </c>
      <c r="AK335" s="53" t="str">
        <f aca="false">IF(OR(AJ335="",AE335=""),"",AJ335-AE335)</f>
        <v/>
      </c>
      <c r="AL335" s="54" t="str">
        <f aca="false">IF(OR(AH335="",AF335=""),"",AH335-AF335)</f>
        <v/>
      </c>
      <c r="AM335" s="55" t="str">
        <f aca="false">IF(OR(A335="",K335&lt;&gt;"SI"),"",IF(AE335="","Sin objetivo",IF(AJ335="","Faltan datos",IF(AJ335&lt;0,"PÉRDIDA",IF(AK335&lt;-UMB_CRITICO,"MUY POR DEBAJO",IF(AK335&lt;-UMB_BAJO,"POR DEBAJO",IF(AK335&lt;-UMB_AJUSTADO,"AJUSTADO",IF(AK335&lt;=UMB_ALTO,"EN OBJETIVO","POR ENCIMA"))))))))</f>
        <v/>
      </c>
      <c r="AN335" s="44"/>
      <c r="AO335" s="44"/>
      <c r="AP335" s="46"/>
      <c r="AQ335" s="46"/>
      <c r="AR335" s="46"/>
      <c r="AS335" s="44"/>
      <c r="AT335" s="44"/>
      <c r="AU335" s="44"/>
      <c r="AV335" s="44"/>
      <c r="AW335" s="44"/>
      <c r="AX335" s="45"/>
      <c r="AY335" s="44"/>
      <c r="AZ335" s="56"/>
      <c r="BA335" s="45"/>
    </row>
    <row r="336" customFormat="false" ht="15" hidden="false" customHeight="false" outlineLevel="0" collapsed="false">
      <c r="A336" s="44"/>
      <c r="B336" s="44"/>
      <c r="C336" s="45"/>
      <c r="D336" s="45"/>
      <c r="E336" s="44"/>
      <c r="F336" s="44"/>
      <c r="G336" s="44"/>
      <c r="H336" s="44"/>
      <c r="I336" s="44"/>
      <c r="J336" s="44"/>
      <c r="K336" s="44"/>
      <c r="L336" s="44"/>
      <c r="M336" s="44"/>
      <c r="N336" s="44"/>
      <c r="O336" s="46"/>
      <c r="P336" s="44"/>
      <c r="Q336" s="46"/>
      <c r="R336" s="44"/>
      <c r="S336" s="45"/>
      <c r="T336" s="44"/>
      <c r="U336" s="44"/>
      <c r="V336" s="47"/>
      <c r="W336" s="48" t="str">
        <f aca="false">IF(V336="","",IFERROR(V336/O336,""))</f>
        <v/>
      </c>
      <c r="X336" s="44"/>
      <c r="Y336" s="46"/>
      <c r="Z336" s="49"/>
      <c r="AA336" s="44"/>
      <c r="AB336" s="50" t="str">
        <f aca="false">IFERROR(INDEX(TABLA_IVA!$C$3:$C$6,MATCH(AA336,TABLA_IVA!$A$3:$A$6,0)),"")</f>
        <v/>
      </c>
      <c r="AC336" s="47"/>
      <c r="AD336" s="44"/>
      <c r="AE336" s="51"/>
      <c r="AF336" s="52" t="str">
        <f aca="false">IF(OR(AC336="",AE336="",AB336=""),"",IFERROR(AC336/(1-AE336)*(1+AB336),""))</f>
        <v/>
      </c>
      <c r="AG336" s="47"/>
      <c r="AH336" s="52" t="str">
        <f aca="false">IF(AD336="FIJO",IF(AG336="","",AG336),IF(AF336&lt;&gt;"",AF336,IF(AG336="","",AG336)))</f>
        <v/>
      </c>
      <c r="AI336" s="52" t="str">
        <f aca="false">IF(OR(AH336="",AB336=""),"",IFERROR(AH336/(1+AB336),""))</f>
        <v/>
      </c>
      <c r="AJ336" s="50" t="str">
        <f aca="false">IF(OR(AI336="",AC336=""),"",IFERROR((AI336-AC336)/AI336,""))</f>
        <v/>
      </c>
      <c r="AK336" s="53" t="str">
        <f aca="false">IF(OR(AJ336="",AE336=""),"",AJ336-AE336)</f>
        <v/>
      </c>
      <c r="AL336" s="54" t="str">
        <f aca="false">IF(OR(AH336="",AF336=""),"",AH336-AF336)</f>
        <v/>
      </c>
      <c r="AM336" s="55" t="str">
        <f aca="false">IF(OR(A336="",K336&lt;&gt;"SI"),"",IF(AE336="","Sin objetivo",IF(AJ336="","Faltan datos",IF(AJ336&lt;0,"PÉRDIDA",IF(AK336&lt;-UMB_CRITICO,"MUY POR DEBAJO",IF(AK336&lt;-UMB_BAJO,"POR DEBAJO",IF(AK336&lt;-UMB_AJUSTADO,"AJUSTADO",IF(AK336&lt;=UMB_ALTO,"EN OBJETIVO","POR ENCIMA"))))))))</f>
        <v/>
      </c>
      <c r="AN336" s="44"/>
      <c r="AO336" s="44"/>
      <c r="AP336" s="46"/>
      <c r="AQ336" s="46"/>
      <c r="AR336" s="46"/>
      <c r="AS336" s="44"/>
      <c r="AT336" s="44"/>
      <c r="AU336" s="44"/>
      <c r="AV336" s="44"/>
      <c r="AW336" s="44"/>
      <c r="AX336" s="45"/>
      <c r="AY336" s="44"/>
      <c r="AZ336" s="56"/>
      <c r="BA336" s="45"/>
    </row>
    <row r="337" customFormat="false" ht="15" hidden="false" customHeight="false" outlineLevel="0" collapsed="false">
      <c r="A337" s="44"/>
      <c r="B337" s="44"/>
      <c r="C337" s="45"/>
      <c r="D337" s="45"/>
      <c r="E337" s="44"/>
      <c r="F337" s="44"/>
      <c r="G337" s="44"/>
      <c r="H337" s="44"/>
      <c r="I337" s="44"/>
      <c r="J337" s="44"/>
      <c r="K337" s="44"/>
      <c r="L337" s="44"/>
      <c r="M337" s="44"/>
      <c r="N337" s="44"/>
      <c r="O337" s="46"/>
      <c r="P337" s="44"/>
      <c r="Q337" s="46"/>
      <c r="R337" s="44"/>
      <c r="S337" s="45"/>
      <c r="T337" s="44"/>
      <c r="U337" s="44"/>
      <c r="V337" s="47"/>
      <c r="W337" s="48" t="str">
        <f aca="false">IF(V337="","",IFERROR(V337/O337,""))</f>
        <v/>
      </c>
      <c r="X337" s="44"/>
      <c r="Y337" s="46"/>
      <c r="Z337" s="49"/>
      <c r="AA337" s="44"/>
      <c r="AB337" s="50" t="str">
        <f aca="false">IFERROR(INDEX(TABLA_IVA!$C$3:$C$6,MATCH(AA337,TABLA_IVA!$A$3:$A$6,0)),"")</f>
        <v/>
      </c>
      <c r="AC337" s="47"/>
      <c r="AD337" s="44"/>
      <c r="AE337" s="51"/>
      <c r="AF337" s="52" t="str">
        <f aca="false">IF(OR(AC337="",AE337="",AB337=""),"",IFERROR(AC337/(1-AE337)*(1+AB337),""))</f>
        <v/>
      </c>
      <c r="AG337" s="47"/>
      <c r="AH337" s="52" t="str">
        <f aca="false">IF(AD337="FIJO",IF(AG337="","",AG337),IF(AF337&lt;&gt;"",AF337,IF(AG337="","",AG337)))</f>
        <v/>
      </c>
      <c r="AI337" s="52" t="str">
        <f aca="false">IF(OR(AH337="",AB337=""),"",IFERROR(AH337/(1+AB337),""))</f>
        <v/>
      </c>
      <c r="AJ337" s="50" t="str">
        <f aca="false">IF(OR(AI337="",AC337=""),"",IFERROR((AI337-AC337)/AI337,""))</f>
        <v/>
      </c>
      <c r="AK337" s="53" t="str">
        <f aca="false">IF(OR(AJ337="",AE337=""),"",AJ337-AE337)</f>
        <v/>
      </c>
      <c r="AL337" s="54" t="str">
        <f aca="false">IF(OR(AH337="",AF337=""),"",AH337-AF337)</f>
        <v/>
      </c>
      <c r="AM337" s="55" t="str">
        <f aca="false">IF(OR(A337="",K337&lt;&gt;"SI"),"",IF(AE337="","Sin objetivo",IF(AJ337="","Faltan datos",IF(AJ337&lt;0,"PÉRDIDA",IF(AK337&lt;-UMB_CRITICO,"MUY POR DEBAJO",IF(AK337&lt;-UMB_BAJO,"POR DEBAJO",IF(AK337&lt;-UMB_AJUSTADO,"AJUSTADO",IF(AK337&lt;=UMB_ALTO,"EN OBJETIVO","POR ENCIMA"))))))))</f>
        <v/>
      </c>
      <c r="AN337" s="44"/>
      <c r="AO337" s="44"/>
      <c r="AP337" s="46"/>
      <c r="AQ337" s="46"/>
      <c r="AR337" s="46"/>
      <c r="AS337" s="44"/>
      <c r="AT337" s="44"/>
      <c r="AU337" s="44"/>
      <c r="AV337" s="44"/>
      <c r="AW337" s="44"/>
      <c r="AX337" s="45"/>
      <c r="AY337" s="44"/>
      <c r="AZ337" s="56"/>
      <c r="BA337" s="45"/>
    </row>
    <row r="338" customFormat="false" ht="15" hidden="false" customHeight="false" outlineLevel="0" collapsed="false">
      <c r="A338" s="44"/>
      <c r="B338" s="44"/>
      <c r="C338" s="45"/>
      <c r="D338" s="45"/>
      <c r="E338" s="44"/>
      <c r="F338" s="44"/>
      <c r="G338" s="44"/>
      <c r="H338" s="44"/>
      <c r="I338" s="44"/>
      <c r="J338" s="44"/>
      <c r="K338" s="44"/>
      <c r="L338" s="44"/>
      <c r="M338" s="44"/>
      <c r="N338" s="44"/>
      <c r="O338" s="46"/>
      <c r="P338" s="44"/>
      <c r="Q338" s="46"/>
      <c r="R338" s="44"/>
      <c r="S338" s="45"/>
      <c r="T338" s="44"/>
      <c r="U338" s="44"/>
      <c r="V338" s="47"/>
      <c r="W338" s="48" t="str">
        <f aca="false">IF(V338="","",IFERROR(V338/O338,""))</f>
        <v/>
      </c>
      <c r="X338" s="44"/>
      <c r="Y338" s="46"/>
      <c r="Z338" s="49"/>
      <c r="AA338" s="44"/>
      <c r="AB338" s="50" t="str">
        <f aca="false">IFERROR(INDEX(TABLA_IVA!$C$3:$C$6,MATCH(AA338,TABLA_IVA!$A$3:$A$6,0)),"")</f>
        <v/>
      </c>
      <c r="AC338" s="47"/>
      <c r="AD338" s="44"/>
      <c r="AE338" s="51"/>
      <c r="AF338" s="52" t="str">
        <f aca="false">IF(OR(AC338="",AE338="",AB338=""),"",IFERROR(AC338/(1-AE338)*(1+AB338),""))</f>
        <v/>
      </c>
      <c r="AG338" s="47"/>
      <c r="AH338" s="52" t="str">
        <f aca="false">IF(AD338="FIJO",IF(AG338="","",AG338),IF(AF338&lt;&gt;"",AF338,IF(AG338="","",AG338)))</f>
        <v/>
      </c>
      <c r="AI338" s="52" t="str">
        <f aca="false">IF(OR(AH338="",AB338=""),"",IFERROR(AH338/(1+AB338),""))</f>
        <v/>
      </c>
      <c r="AJ338" s="50" t="str">
        <f aca="false">IF(OR(AI338="",AC338=""),"",IFERROR((AI338-AC338)/AI338,""))</f>
        <v/>
      </c>
      <c r="AK338" s="53" t="str">
        <f aca="false">IF(OR(AJ338="",AE338=""),"",AJ338-AE338)</f>
        <v/>
      </c>
      <c r="AL338" s="54" t="str">
        <f aca="false">IF(OR(AH338="",AF338=""),"",AH338-AF338)</f>
        <v/>
      </c>
      <c r="AM338" s="55" t="str">
        <f aca="false">IF(OR(A338="",K338&lt;&gt;"SI"),"",IF(AE338="","Sin objetivo",IF(AJ338="","Faltan datos",IF(AJ338&lt;0,"PÉRDIDA",IF(AK338&lt;-UMB_CRITICO,"MUY POR DEBAJO",IF(AK338&lt;-UMB_BAJO,"POR DEBAJO",IF(AK338&lt;-UMB_AJUSTADO,"AJUSTADO",IF(AK338&lt;=UMB_ALTO,"EN OBJETIVO","POR ENCIMA"))))))))</f>
        <v/>
      </c>
      <c r="AN338" s="44"/>
      <c r="AO338" s="44"/>
      <c r="AP338" s="46"/>
      <c r="AQ338" s="46"/>
      <c r="AR338" s="46"/>
      <c r="AS338" s="44"/>
      <c r="AT338" s="44"/>
      <c r="AU338" s="44"/>
      <c r="AV338" s="44"/>
      <c r="AW338" s="44"/>
      <c r="AX338" s="45"/>
      <c r="AY338" s="44"/>
      <c r="AZ338" s="56"/>
      <c r="BA338" s="45"/>
    </row>
    <row r="339" customFormat="false" ht="15" hidden="false" customHeight="false" outlineLevel="0" collapsed="false">
      <c r="A339" s="44"/>
      <c r="B339" s="44"/>
      <c r="C339" s="45"/>
      <c r="D339" s="45"/>
      <c r="E339" s="44"/>
      <c r="F339" s="44"/>
      <c r="G339" s="44"/>
      <c r="H339" s="44"/>
      <c r="I339" s="44"/>
      <c r="J339" s="44"/>
      <c r="K339" s="44"/>
      <c r="L339" s="44"/>
      <c r="M339" s="44"/>
      <c r="N339" s="44"/>
      <c r="O339" s="46"/>
      <c r="P339" s="44"/>
      <c r="Q339" s="46"/>
      <c r="R339" s="44"/>
      <c r="S339" s="45"/>
      <c r="T339" s="44"/>
      <c r="U339" s="44"/>
      <c r="V339" s="47"/>
      <c r="W339" s="48" t="str">
        <f aca="false">IF(V339="","",IFERROR(V339/O339,""))</f>
        <v/>
      </c>
      <c r="X339" s="44"/>
      <c r="Y339" s="46"/>
      <c r="Z339" s="49"/>
      <c r="AA339" s="44"/>
      <c r="AB339" s="50" t="str">
        <f aca="false">IFERROR(INDEX(TABLA_IVA!$C$3:$C$6,MATCH(AA339,TABLA_IVA!$A$3:$A$6,0)),"")</f>
        <v/>
      </c>
      <c r="AC339" s="47"/>
      <c r="AD339" s="44"/>
      <c r="AE339" s="51"/>
      <c r="AF339" s="52" t="str">
        <f aca="false">IF(OR(AC339="",AE339="",AB339=""),"",IFERROR(AC339/(1-AE339)*(1+AB339),""))</f>
        <v/>
      </c>
      <c r="AG339" s="47"/>
      <c r="AH339" s="52" t="str">
        <f aca="false">IF(AD339="FIJO",IF(AG339="","",AG339),IF(AF339&lt;&gt;"",AF339,IF(AG339="","",AG339)))</f>
        <v/>
      </c>
      <c r="AI339" s="52" t="str">
        <f aca="false">IF(OR(AH339="",AB339=""),"",IFERROR(AH339/(1+AB339),""))</f>
        <v/>
      </c>
      <c r="AJ339" s="50" t="str">
        <f aca="false">IF(OR(AI339="",AC339=""),"",IFERROR((AI339-AC339)/AI339,""))</f>
        <v/>
      </c>
      <c r="AK339" s="53" t="str">
        <f aca="false">IF(OR(AJ339="",AE339=""),"",AJ339-AE339)</f>
        <v/>
      </c>
      <c r="AL339" s="54" t="str">
        <f aca="false">IF(OR(AH339="",AF339=""),"",AH339-AF339)</f>
        <v/>
      </c>
      <c r="AM339" s="55" t="str">
        <f aca="false">IF(OR(A339="",K339&lt;&gt;"SI"),"",IF(AE339="","Sin objetivo",IF(AJ339="","Faltan datos",IF(AJ339&lt;0,"PÉRDIDA",IF(AK339&lt;-UMB_CRITICO,"MUY POR DEBAJO",IF(AK339&lt;-UMB_BAJO,"POR DEBAJO",IF(AK339&lt;-UMB_AJUSTADO,"AJUSTADO",IF(AK339&lt;=UMB_ALTO,"EN OBJETIVO","POR ENCIMA"))))))))</f>
        <v/>
      </c>
      <c r="AN339" s="44"/>
      <c r="AO339" s="44"/>
      <c r="AP339" s="46"/>
      <c r="AQ339" s="46"/>
      <c r="AR339" s="46"/>
      <c r="AS339" s="44"/>
      <c r="AT339" s="44"/>
      <c r="AU339" s="44"/>
      <c r="AV339" s="44"/>
      <c r="AW339" s="44"/>
      <c r="AX339" s="45"/>
      <c r="AY339" s="44"/>
      <c r="AZ339" s="56"/>
      <c r="BA339" s="45"/>
    </row>
    <row r="340" customFormat="false" ht="15" hidden="false" customHeight="false" outlineLevel="0" collapsed="false">
      <c r="A340" s="44"/>
      <c r="B340" s="44"/>
      <c r="C340" s="45"/>
      <c r="D340" s="45"/>
      <c r="E340" s="44"/>
      <c r="F340" s="44"/>
      <c r="G340" s="44"/>
      <c r="H340" s="44"/>
      <c r="I340" s="44"/>
      <c r="J340" s="44"/>
      <c r="K340" s="44"/>
      <c r="L340" s="44"/>
      <c r="M340" s="44"/>
      <c r="N340" s="44"/>
      <c r="O340" s="46"/>
      <c r="P340" s="44"/>
      <c r="Q340" s="46"/>
      <c r="R340" s="44"/>
      <c r="S340" s="45"/>
      <c r="T340" s="44"/>
      <c r="U340" s="44"/>
      <c r="V340" s="47"/>
      <c r="W340" s="48" t="str">
        <f aca="false">IF(V340="","",IFERROR(V340/O340,""))</f>
        <v/>
      </c>
      <c r="X340" s="44"/>
      <c r="Y340" s="46"/>
      <c r="Z340" s="49"/>
      <c r="AA340" s="44"/>
      <c r="AB340" s="50" t="str">
        <f aca="false">IFERROR(INDEX(TABLA_IVA!$C$3:$C$6,MATCH(AA340,TABLA_IVA!$A$3:$A$6,0)),"")</f>
        <v/>
      </c>
      <c r="AC340" s="47"/>
      <c r="AD340" s="44"/>
      <c r="AE340" s="51"/>
      <c r="AF340" s="52" t="str">
        <f aca="false">IF(OR(AC340="",AE340="",AB340=""),"",IFERROR(AC340/(1-AE340)*(1+AB340),""))</f>
        <v/>
      </c>
      <c r="AG340" s="47"/>
      <c r="AH340" s="52" t="str">
        <f aca="false">IF(AD340="FIJO",IF(AG340="","",AG340),IF(AF340&lt;&gt;"",AF340,IF(AG340="","",AG340)))</f>
        <v/>
      </c>
      <c r="AI340" s="52" t="str">
        <f aca="false">IF(OR(AH340="",AB340=""),"",IFERROR(AH340/(1+AB340),""))</f>
        <v/>
      </c>
      <c r="AJ340" s="50" t="str">
        <f aca="false">IF(OR(AI340="",AC340=""),"",IFERROR((AI340-AC340)/AI340,""))</f>
        <v/>
      </c>
      <c r="AK340" s="53" t="str">
        <f aca="false">IF(OR(AJ340="",AE340=""),"",AJ340-AE340)</f>
        <v/>
      </c>
      <c r="AL340" s="54" t="str">
        <f aca="false">IF(OR(AH340="",AF340=""),"",AH340-AF340)</f>
        <v/>
      </c>
      <c r="AM340" s="55" t="str">
        <f aca="false">IF(OR(A340="",K340&lt;&gt;"SI"),"",IF(AE340="","Sin objetivo",IF(AJ340="","Faltan datos",IF(AJ340&lt;0,"PÉRDIDA",IF(AK340&lt;-UMB_CRITICO,"MUY POR DEBAJO",IF(AK340&lt;-UMB_BAJO,"POR DEBAJO",IF(AK340&lt;-UMB_AJUSTADO,"AJUSTADO",IF(AK340&lt;=UMB_ALTO,"EN OBJETIVO","POR ENCIMA"))))))))</f>
        <v/>
      </c>
      <c r="AN340" s="44"/>
      <c r="AO340" s="44"/>
      <c r="AP340" s="46"/>
      <c r="AQ340" s="46"/>
      <c r="AR340" s="46"/>
      <c r="AS340" s="44"/>
      <c r="AT340" s="44"/>
      <c r="AU340" s="44"/>
      <c r="AV340" s="44"/>
      <c r="AW340" s="44"/>
      <c r="AX340" s="45"/>
      <c r="AY340" s="44"/>
      <c r="AZ340" s="56"/>
      <c r="BA340" s="45"/>
    </row>
    <row r="341" customFormat="false" ht="15" hidden="false" customHeight="false" outlineLevel="0" collapsed="false">
      <c r="A341" s="44"/>
      <c r="B341" s="44"/>
      <c r="C341" s="45"/>
      <c r="D341" s="45"/>
      <c r="E341" s="44"/>
      <c r="F341" s="44"/>
      <c r="G341" s="44"/>
      <c r="H341" s="44"/>
      <c r="I341" s="44"/>
      <c r="J341" s="44"/>
      <c r="K341" s="44"/>
      <c r="L341" s="44"/>
      <c r="M341" s="44"/>
      <c r="N341" s="44"/>
      <c r="O341" s="46"/>
      <c r="P341" s="44"/>
      <c r="Q341" s="46"/>
      <c r="R341" s="44"/>
      <c r="S341" s="45"/>
      <c r="T341" s="44"/>
      <c r="U341" s="44"/>
      <c r="V341" s="47"/>
      <c r="W341" s="48" t="str">
        <f aca="false">IF(V341="","",IFERROR(V341/O341,""))</f>
        <v/>
      </c>
      <c r="X341" s="44"/>
      <c r="Y341" s="46"/>
      <c r="Z341" s="49"/>
      <c r="AA341" s="44"/>
      <c r="AB341" s="50" t="str">
        <f aca="false">IFERROR(INDEX(TABLA_IVA!$C$3:$C$6,MATCH(AA341,TABLA_IVA!$A$3:$A$6,0)),"")</f>
        <v/>
      </c>
      <c r="AC341" s="47"/>
      <c r="AD341" s="44"/>
      <c r="AE341" s="51"/>
      <c r="AF341" s="52" t="str">
        <f aca="false">IF(OR(AC341="",AE341="",AB341=""),"",IFERROR(AC341/(1-AE341)*(1+AB341),""))</f>
        <v/>
      </c>
      <c r="AG341" s="47"/>
      <c r="AH341" s="52" t="str">
        <f aca="false">IF(AD341="FIJO",IF(AG341="","",AG341),IF(AF341&lt;&gt;"",AF341,IF(AG341="","",AG341)))</f>
        <v/>
      </c>
      <c r="AI341" s="52" t="str">
        <f aca="false">IF(OR(AH341="",AB341=""),"",IFERROR(AH341/(1+AB341),""))</f>
        <v/>
      </c>
      <c r="AJ341" s="50" t="str">
        <f aca="false">IF(OR(AI341="",AC341=""),"",IFERROR((AI341-AC341)/AI341,""))</f>
        <v/>
      </c>
      <c r="AK341" s="53" t="str">
        <f aca="false">IF(OR(AJ341="",AE341=""),"",AJ341-AE341)</f>
        <v/>
      </c>
      <c r="AL341" s="54" t="str">
        <f aca="false">IF(OR(AH341="",AF341=""),"",AH341-AF341)</f>
        <v/>
      </c>
      <c r="AM341" s="55" t="str">
        <f aca="false">IF(OR(A341="",K341&lt;&gt;"SI"),"",IF(AE341="","Sin objetivo",IF(AJ341="","Faltan datos",IF(AJ341&lt;0,"PÉRDIDA",IF(AK341&lt;-UMB_CRITICO,"MUY POR DEBAJO",IF(AK341&lt;-UMB_BAJO,"POR DEBAJO",IF(AK341&lt;-UMB_AJUSTADO,"AJUSTADO",IF(AK341&lt;=UMB_ALTO,"EN OBJETIVO","POR ENCIMA"))))))))</f>
        <v/>
      </c>
      <c r="AN341" s="44"/>
      <c r="AO341" s="44"/>
      <c r="AP341" s="46"/>
      <c r="AQ341" s="46"/>
      <c r="AR341" s="46"/>
      <c r="AS341" s="44"/>
      <c r="AT341" s="44"/>
      <c r="AU341" s="44"/>
      <c r="AV341" s="44"/>
      <c r="AW341" s="44"/>
      <c r="AX341" s="45"/>
      <c r="AY341" s="44"/>
      <c r="AZ341" s="56"/>
      <c r="BA341" s="45"/>
    </row>
    <row r="342" customFormat="false" ht="15" hidden="false" customHeight="false" outlineLevel="0" collapsed="false">
      <c r="A342" s="44"/>
      <c r="B342" s="44"/>
      <c r="C342" s="45"/>
      <c r="D342" s="45"/>
      <c r="E342" s="44"/>
      <c r="F342" s="44"/>
      <c r="G342" s="44"/>
      <c r="H342" s="44"/>
      <c r="I342" s="44"/>
      <c r="J342" s="44"/>
      <c r="K342" s="44"/>
      <c r="L342" s="44"/>
      <c r="M342" s="44"/>
      <c r="N342" s="44"/>
      <c r="O342" s="46"/>
      <c r="P342" s="44"/>
      <c r="Q342" s="46"/>
      <c r="R342" s="44"/>
      <c r="S342" s="45"/>
      <c r="T342" s="44"/>
      <c r="U342" s="44"/>
      <c r="V342" s="47"/>
      <c r="W342" s="48" t="str">
        <f aca="false">IF(V342="","",IFERROR(V342/O342,""))</f>
        <v/>
      </c>
      <c r="X342" s="44"/>
      <c r="Y342" s="46"/>
      <c r="Z342" s="49"/>
      <c r="AA342" s="44"/>
      <c r="AB342" s="50" t="str">
        <f aca="false">IFERROR(INDEX(TABLA_IVA!$C$3:$C$6,MATCH(AA342,TABLA_IVA!$A$3:$A$6,0)),"")</f>
        <v/>
      </c>
      <c r="AC342" s="47"/>
      <c r="AD342" s="44"/>
      <c r="AE342" s="51"/>
      <c r="AF342" s="52" t="str">
        <f aca="false">IF(OR(AC342="",AE342="",AB342=""),"",IFERROR(AC342/(1-AE342)*(1+AB342),""))</f>
        <v/>
      </c>
      <c r="AG342" s="47"/>
      <c r="AH342" s="52" t="str">
        <f aca="false">IF(AD342="FIJO",IF(AG342="","",AG342),IF(AF342&lt;&gt;"",AF342,IF(AG342="","",AG342)))</f>
        <v/>
      </c>
      <c r="AI342" s="52" t="str">
        <f aca="false">IF(OR(AH342="",AB342=""),"",IFERROR(AH342/(1+AB342),""))</f>
        <v/>
      </c>
      <c r="AJ342" s="50" t="str">
        <f aca="false">IF(OR(AI342="",AC342=""),"",IFERROR((AI342-AC342)/AI342,""))</f>
        <v/>
      </c>
      <c r="AK342" s="53" t="str">
        <f aca="false">IF(OR(AJ342="",AE342=""),"",AJ342-AE342)</f>
        <v/>
      </c>
      <c r="AL342" s="54" t="str">
        <f aca="false">IF(OR(AH342="",AF342=""),"",AH342-AF342)</f>
        <v/>
      </c>
      <c r="AM342" s="55" t="str">
        <f aca="false">IF(OR(A342="",K342&lt;&gt;"SI"),"",IF(AE342="","Sin objetivo",IF(AJ342="","Faltan datos",IF(AJ342&lt;0,"PÉRDIDA",IF(AK342&lt;-UMB_CRITICO,"MUY POR DEBAJO",IF(AK342&lt;-UMB_BAJO,"POR DEBAJO",IF(AK342&lt;-UMB_AJUSTADO,"AJUSTADO",IF(AK342&lt;=UMB_ALTO,"EN OBJETIVO","POR ENCIMA"))))))))</f>
        <v/>
      </c>
      <c r="AN342" s="44"/>
      <c r="AO342" s="44"/>
      <c r="AP342" s="46"/>
      <c r="AQ342" s="46"/>
      <c r="AR342" s="46"/>
      <c r="AS342" s="44"/>
      <c r="AT342" s="44"/>
      <c r="AU342" s="44"/>
      <c r="AV342" s="44"/>
      <c r="AW342" s="44"/>
      <c r="AX342" s="45"/>
      <c r="AY342" s="44"/>
      <c r="AZ342" s="56"/>
      <c r="BA342" s="45"/>
    </row>
    <row r="343" customFormat="false" ht="15" hidden="false" customHeight="false" outlineLevel="0" collapsed="false">
      <c r="A343" s="44"/>
      <c r="B343" s="44"/>
      <c r="C343" s="45"/>
      <c r="D343" s="45"/>
      <c r="E343" s="44"/>
      <c r="F343" s="44"/>
      <c r="G343" s="44"/>
      <c r="H343" s="44"/>
      <c r="I343" s="44"/>
      <c r="J343" s="44"/>
      <c r="K343" s="44"/>
      <c r="L343" s="44"/>
      <c r="M343" s="44"/>
      <c r="N343" s="44"/>
      <c r="O343" s="46"/>
      <c r="P343" s="44"/>
      <c r="Q343" s="46"/>
      <c r="R343" s="44"/>
      <c r="S343" s="45"/>
      <c r="T343" s="44"/>
      <c r="U343" s="44"/>
      <c r="V343" s="47"/>
      <c r="W343" s="48" t="str">
        <f aca="false">IF(V343="","",IFERROR(V343/O343,""))</f>
        <v/>
      </c>
      <c r="X343" s="44"/>
      <c r="Y343" s="46"/>
      <c r="Z343" s="49"/>
      <c r="AA343" s="44"/>
      <c r="AB343" s="50" t="str">
        <f aca="false">IFERROR(INDEX(TABLA_IVA!$C$3:$C$6,MATCH(AA343,TABLA_IVA!$A$3:$A$6,0)),"")</f>
        <v/>
      </c>
      <c r="AC343" s="47"/>
      <c r="AD343" s="44"/>
      <c r="AE343" s="51"/>
      <c r="AF343" s="52" t="str">
        <f aca="false">IF(OR(AC343="",AE343="",AB343=""),"",IFERROR(AC343/(1-AE343)*(1+AB343),""))</f>
        <v/>
      </c>
      <c r="AG343" s="47"/>
      <c r="AH343" s="52" t="str">
        <f aca="false">IF(AD343="FIJO",IF(AG343="","",AG343),IF(AF343&lt;&gt;"",AF343,IF(AG343="","",AG343)))</f>
        <v/>
      </c>
      <c r="AI343" s="52" t="str">
        <f aca="false">IF(OR(AH343="",AB343=""),"",IFERROR(AH343/(1+AB343),""))</f>
        <v/>
      </c>
      <c r="AJ343" s="50" t="str">
        <f aca="false">IF(OR(AI343="",AC343=""),"",IFERROR((AI343-AC343)/AI343,""))</f>
        <v/>
      </c>
      <c r="AK343" s="53" t="str">
        <f aca="false">IF(OR(AJ343="",AE343=""),"",AJ343-AE343)</f>
        <v/>
      </c>
      <c r="AL343" s="54" t="str">
        <f aca="false">IF(OR(AH343="",AF343=""),"",AH343-AF343)</f>
        <v/>
      </c>
      <c r="AM343" s="55" t="str">
        <f aca="false">IF(OR(A343="",K343&lt;&gt;"SI"),"",IF(AE343="","Sin objetivo",IF(AJ343="","Faltan datos",IF(AJ343&lt;0,"PÉRDIDA",IF(AK343&lt;-UMB_CRITICO,"MUY POR DEBAJO",IF(AK343&lt;-UMB_BAJO,"POR DEBAJO",IF(AK343&lt;-UMB_AJUSTADO,"AJUSTADO",IF(AK343&lt;=UMB_ALTO,"EN OBJETIVO","POR ENCIMA"))))))))</f>
        <v/>
      </c>
      <c r="AN343" s="44"/>
      <c r="AO343" s="44"/>
      <c r="AP343" s="46"/>
      <c r="AQ343" s="46"/>
      <c r="AR343" s="46"/>
      <c r="AS343" s="44"/>
      <c r="AT343" s="44"/>
      <c r="AU343" s="44"/>
      <c r="AV343" s="44"/>
      <c r="AW343" s="44"/>
      <c r="AX343" s="45"/>
      <c r="AY343" s="44"/>
      <c r="AZ343" s="56"/>
      <c r="BA343" s="45"/>
    </row>
    <row r="344" customFormat="false" ht="15" hidden="false" customHeight="false" outlineLevel="0" collapsed="false">
      <c r="A344" s="44"/>
      <c r="B344" s="44"/>
      <c r="C344" s="45"/>
      <c r="D344" s="45"/>
      <c r="E344" s="44"/>
      <c r="F344" s="44"/>
      <c r="G344" s="44"/>
      <c r="H344" s="44"/>
      <c r="I344" s="44"/>
      <c r="J344" s="44"/>
      <c r="K344" s="44"/>
      <c r="L344" s="44"/>
      <c r="M344" s="44"/>
      <c r="N344" s="44"/>
      <c r="O344" s="46"/>
      <c r="P344" s="44"/>
      <c r="Q344" s="46"/>
      <c r="R344" s="44"/>
      <c r="S344" s="45"/>
      <c r="T344" s="44"/>
      <c r="U344" s="44"/>
      <c r="V344" s="47"/>
      <c r="W344" s="48" t="str">
        <f aca="false">IF(V344="","",IFERROR(V344/O344,""))</f>
        <v/>
      </c>
      <c r="X344" s="44"/>
      <c r="Y344" s="46"/>
      <c r="Z344" s="49"/>
      <c r="AA344" s="44"/>
      <c r="AB344" s="50" t="str">
        <f aca="false">IFERROR(INDEX(TABLA_IVA!$C$3:$C$6,MATCH(AA344,TABLA_IVA!$A$3:$A$6,0)),"")</f>
        <v/>
      </c>
      <c r="AC344" s="47"/>
      <c r="AD344" s="44"/>
      <c r="AE344" s="51"/>
      <c r="AF344" s="52" t="str">
        <f aca="false">IF(OR(AC344="",AE344="",AB344=""),"",IFERROR(AC344/(1-AE344)*(1+AB344),""))</f>
        <v/>
      </c>
      <c r="AG344" s="47"/>
      <c r="AH344" s="52" t="str">
        <f aca="false">IF(AD344="FIJO",IF(AG344="","",AG344),IF(AF344&lt;&gt;"",AF344,IF(AG344="","",AG344)))</f>
        <v/>
      </c>
      <c r="AI344" s="52" t="str">
        <f aca="false">IF(OR(AH344="",AB344=""),"",IFERROR(AH344/(1+AB344),""))</f>
        <v/>
      </c>
      <c r="AJ344" s="50" t="str">
        <f aca="false">IF(OR(AI344="",AC344=""),"",IFERROR((AI344-AC344)/AI344,""))</f>
        <v/>
      </c>
      <c r="AK344" s="53" t="str">
        <f aca="false">IF(OR(AJ344="",AE344=""),"",AJ344-AE344)</f>
        <v/>
      </c>
      <c r="AL344" s="54" t="str">
        <f aca="false">IF(OR(AH344="",AF344=""),"",AH344-AF344)</f>
        <v/>
      </c>
      <c r="AM344" s="55" t="str">
        <f aca="false">IF(OR(A344="",K344&lt;&gt;"SI"),"",IF(AE344="","Sin objetivo",IF(AJ344="","Faltan datos",IF(AJ344&lt;0,"PÉRDIDA",IF(AK344&lt;-UMB_CRITICO,"MUY POR DEBAJO",IF(AK344&lt;-UMB_BAJO,"POR DEBAJO",IF(AK344&lt;-UMB_AJUSTADO,"AJUSTADO",IF(AK344&lt;=UMB_ALTO,"EN OBJETIVO","POR ENCIMA"))))))))</f>
        <v/>
      </c>
      <c r="AN344" s="44"/>
      <c r="AO344" s="44"/>
      <c r="AP344" s="46"/>
      <c r="AQ344" s="46"/>
      <c r="AR344" s="46"/>
      <c r="AS344" s="44"/>
      <c r="AT344" s="44"/>
      <c r="AU344" s="44"/>
      <c r="AV344" s="44"/>
      <c r="AW344" s="44"/>
      <c r="AX344" s="45"/>
      <c r="AY344" s="44"/>
      <c r="AZ344" s="56"/>
      <c r="BA344" s="45"/>
    </row>
    <row r="345" customFormat="false" ht="15" hidden="false" customHeight="false" outlineLevel="0" collapsed="false">
      <c r="A345" s="44"/>
      <c r="B345" s="44"/>
      <c r="C345" s="45"/>
      <c r="D345" s="45"/>
      <c r="E345" s="44"/>
      <c r="F345" s="44"/>
      <c r="G345" s="44"/>
      <c r="H345" s="44"/>
      <c r="I345" s="44"/>
      <c r="J345" s="44"/>
      <c r="K345" s="44"/>
      <c r="L345" s="44"/>
      <c r="M345" s="44"/>
      <c r="N345" s="44"/>
      <c r="O345" s="46"/>
      <c r="P345" s="44"/>
      <c r="Q345" s="46"/>
      <c r="R345" s="44"/>
      <c r="S345" s="45"/>
      <c r="T345" s="44"/>
      <c r="U345" s="44"/>
      <c r="V345" s="47"/>
      <c r="W345" s="48" t="str">
        <f aca="false">IF(V345="","",IFERROR(V345/O345,""))</f>
        <v/>
      </c>
      <c r="X345" s="44"/>
      <c r="Y345" s="46"/>
      <c r="Z345" s="49"/>
      <c r="AA345" s="44"/>
      <c r="AB345" s="50" t="str">
        <f aca="false">IFERROR(INDEX(TABLA_IVA!$C$3:$C$6,MATCH(AA345,TABLA_IVA!$A$3:$A$6,0)),"")</f>
        <v/>
      </c>
      <c r="AC345" s="47"/>
      <c r="AD345" s="44"/>
      <c r="AE345" s="51"/>
      <c r="AF345" s="52" t="str">
        <f aca="false">IF(OR(AC345="",AE345="",AB345=""),"",IFERROR(AC345/(1-AE345)*(1+AB345),""))</f>
        <v/>
      </c>
      <c r="AG345" s="47"/>
      <c r="AH345" s="52" t="str">
        <f aca="false">IF(AD345="FIJO",IF(AG345="","",AG345),IF(AF345&lt;&gt;"",AF345,IF(AG345="","",AG345)))</f>
        <v/>
      </c>
      <c r="AI345" s="52" t="str">
        <f aca="false">IF(OR(AH345="",AB345=""),"",IFERROR(AH345/(1+AB345),""))</f>
        <v/>
      </c>
      <c r="AJ345" s="50" t="str">
        <f aca="false">IF(OR(AI345="",AC345=""),"",IFERROR((AI345-AC345)/AI345,""))</f>
        <v/>
      </c>
      <c r="AK345" s="53" t="str">
        <f aca="false">IF(OR(AJ345="",AE345=""),"",AJ345-AE345)</f>
        <v/>
      </c>
      <c r="AL345" s="54" t="str">
        <f aca="false">IF(OR(AH345="",AF345=""),"",AH345-AF345)</f>
        <v/>
      </c>
      <c r="AM345" s="55" t="str">
        <f aca="false">IF(OR(A345="",K345&lt;&gt;"SI"),"",IF(AE345="","Sin objetivo",IF(AJ345="","Faltan datos",IF(AJ345&lt;0,"PÉRDIDA",IF(AK345&lt;-UMB_CRITICO,"MUY POR DEBAJO",IF(AK345&lt;-UMB_BAJO,"POR DEBAJO",IF(AK345&lt;-UMB_AJUSTADO,"AJUSTADO",IF(AK345&lt;=UMB_ALTO,"EN OBJETIVO","POR ENCIMA"))))))))</f>
        <v/>
      </c>
      <c r="AN345" s="44"/>
      <c r="AO345" s="44"/>
      <c r="AP345" s="46"/>
      <c r="AQ345" s="46"/>
      <c r="AR345" s="46"/>
      <c r="AS345" s="44"/>
      <c r="AT345" s="44"/>
      <c r="AU345" s="44"/>
      <c r="AV345" s="44"/>
      <c r="AW345" s="44"/>
      <c r="AX345" s="45"/>
      <c r="AY345" s="44"/>
      <c r="AZ345" s="56"/>
      <c r="BA345" s="45"/>
    </row>
    <row r="346" customFormat="false" ht="15" hidden="false" customHeight="false" outlineLevel="0" collapsed="false">
      <c r="A346" s="44"/>
      <c r="B346" s="44"/>
      <c r="C346" s="45"/>
      <c r="D346" s="45"/>
      <c r="E346" s="44"/>
      <c r="F346" s="44"/>
      <c r="G346" s="44"/>
      <c r="H346" s="44"/>
      <c r="I346" s="44"/>
      <c r="J346" s="44"/>
      <c r="K346" s="44"/>
      <c r="L346" s="44"/>
      <c r="M346" s="44"/>
      <c r="N346" s="44"/>
      <c r="O346" s="46"/>
      <c r="P346" s="44"/>
      <c r="Q346" s="46"/>
      <c r="R346" s="44"/>
      <c r="S346" s="45"/>
      <c r="T346" s="44"/>
      <c r="U346" s="44"/>
      <c r="V346" s="47"/>
      <c r="W346" s="48" t="str">
        <f aca="false">IF(V346="","",IFERROR(V346/O346,""))</f>
        <v/>
      </c>
      <c r="X346" s="44"/>
      <c r="Y346" s="46"/>
      <c r="Z346" s="49"/>
      <c r="AA346" s="44"/>
      <c r="AB346" s="50" t="str">
        <f aca="false">IFERROR(INDEX(TABLA_IVA!$C$3:$C$6,MATCH(AA346,TABLA_IVA!$A$3:$A$6,0)),"")</f>
        <v/>
      </c>
      <c r="AC346" s="47"/>
      <c r="AD346" s="44"/>
      <c r="AE346" s="51"/>
      <c r="AF346" s="52" t="str">
        <f aca="false">IF(OR(AC346="",AE346="",AB346=""),"",IFERROR(AC346/(1-AE346)*(1+AB346),""))</f>
        <v/>
      </c>
      <c r="AG346" s="47"/>
      <c r="AH346" s="52" t="str">
        <f aca="false">IF(AD346="FIJO",IF(AG346="","",AG346),IF(AF346&lt;&gt;"",AF346,IF(AG346="","",AG346)))</f>
        <v/>
      </c>
      <c r="AI346" s="52" t="str">
        <f aca="false">IF(OR(AH346="",AB346=""),"",IFERROR(AH346/(1+AB346),""))</f>
        <v/>
      </c>
      <c r="AJ346" s="50" t="str">
        <f aca="false">IF(OR(AI346="",AC346=""),"",IFERROR((AI346-AC346)/AI346,""))</f>
        <v/>
      </c>
      <c r="AK346" s="53" t="str">
        <f aca="false">IF(OR(AJ346="",AE346=""),"",AJ346-AE346)</f>
        <v/>
      </c>
      <c r="AL346" s="54" t="str">
        <f aca="false">IF(OR(AH346="",AF346=""),"",AH346-AF346)</f>
        <v/>
      </c>
      <c r="AM346" s="55" t="str">
        <f aca="false">IF(OR(A346="",K346&lt;&gt;"SI"),"",IF(AE346="","Sin objetivo",IF(AJ346="","Faltan datos",IF(AJ346&lt;0,"PÉRDIDA",IF(AK346&lt;-UMB_CRITICO,"MUY POR DEBAJO",IF(AK346&lt;-UMB_BAJO,"POR DEBAJO",IF(AK346&lt;-UMB_AJUSTADO,"AJUSTADO",IF(AK346&lt;=UMB_ALTO,"EN OBJETIVO","POR ENCIMA"))))))))</f>
        <v/>
      </c>
      <c r="AN346" s="44"/>
      <c r="AO346" s="44"/>
      <c r="AP346" s="46"/>
      <c r="AQ346" s="46"/>
      <c r="AR346" s="46"/>
      <c r="AS346" s="44"/>
      <c r="AT346" s="44"/>
      <c r="AU346" s="44"/>
      <c r="AV346" s="44"/>
      <c r="AW346" s="44"/>
      <c r="AX346" s="45"/>
      <c r="AY346" s="44"/>
      <c r="AZ346" s="56"/>
      <c r="BA346" s="45"/>
    </row>
    <row r="347" customFormat="false" ht="15" hidden="false" customHeight="false" outlineLevel="0" collapsed="false">
      <c r="A347" s="44"/>
      <c r="B347" s="44"/>
      <c r="C347" s="45"/>
      <c r="D347" s="45"/>
      <c r="E347" s="44"/>
      <c r="F347" s="44"/>
      <c r="G347" s="44"/>
      <c r="H347" s="44"/>
      <c r="I347" s="44"/>
      <c r="J347" s="44"/>
      <c r="K347" s="44"/>
      <c r="L347" s="44"/>
      <c r="M347" s="44"/>
      <c r="N347" s="44"/>
      <c r="O347" s="46"/>
      <c r="P347" s="44"/>
      <c r="Q347" s="46"/>
      <c r="R347" s="44"/>
      <c r="S347" s="45"/>
      <c r="T347" s="44"/>
      <c r="U347" s="44"/>
      <c r="V347" s="47"/>
      <c r="W347" s="48" t="str">
        <f aca="false">IF(V347="","",IFERROR(V347/O347,""))</f>
        <v/>
      </c>
      <c r="X347" s="44"/>
      <c r="Y347" s="46"/>
      <c r="Z347" s="49"/>
      <c r="AA347" s="44"/>
      <c r="AB347" s="50" t="str">
        <f aca="false">IFERROR(INDEX(TABLA_IVA!$C$3:$C$6,MATCH(AA347,TABLA_IVA!$A$3:$A$6,0)),"")</f>
        <v/>
      </c>
      <c r="AC347" s="47"/>
      <c r="AD347" s="44"/>
      <c r="AE347" s="51"/>
      <c r="AF347" s="52" t="str">
        <f aca="false">IF(OR(AC347="",AE347="",AB347=""),"",IFERROR(AC347/(1-AE347)*(1+AB347),""))</f>
        <v/>
      </c>
      <c r="AG347" s="47"/>
      <c r="AH347" s="52" t="str">
        <f aca="false">IF(AD347="FIJO",IF(AG347="","",AG347),IF(AF347&lt;&gt;"",AF347,IF(AG347="","",AG347)))</f>
        <v/>
      </c>
      <c r="AI347" s="52" t="str">
        <f aca="false">IF(OR(AH347="",AB347=""),"",IFERROR(AH347/(1+AB347),""))</f>
        <v/>
      </c>
      <c r="AJ347" s="50" t="str">
        <f aca="false">IF(OR(AI347="",AC347=""),"",IFERROR((AI347-AC347)/AI347,""))</f>
        <v/>
      </c>
      <c r="AK347" s="53" t="str">
        <f aca="false">IF(OR(AJ347="",AE347=""),"",AJ347-AE347)</f>
        <v/>
      </c>
      <c r="AL347" s="54" t="str">
        <f aca="false">IF(OR(AH347="",AF347=""),"",AH347-AF347)</f>
        <v/>
      </c>
      <c r="AM347" s="55" t="str">
        <f aca="false">IF(OR(A347="",K347&lt;&gt;"SI"),"",IF(AE347="","Sin objetivo",IF(AJ347="","Faltan datos",IF(AJ347&lt;0,"PÉRDIDA",IF(AK347&lt;-UMB_CRITICO,"MUY POR DEBAJO",IF(AK347&lt;-UMB_BAJO,"POR DEBAJO",IF(AK347&lt;-UMB_AJUSTADO,"AJUSTADO",IF(AK347&lt;=UMB_ALTO,"EN OBJETIVO","POR ENCIMA"))))))))</f>
        <v/>
      </c>
      <c r="AN347" s="44"/>
      <c r="AO347" s="44"/>
      <c r="AP347" s="46"/>
      <c r="AQ347" s="46"/>
      <c r="AR347" s="46"/>
      <c r="AS347" s="44"/>
      <c r="AT347" s="44"/>
      <c r="AU347" s="44"/>
      <c r="AV347" s="44"/>
      <c r="AW347" s="44"/>
      <c r="AX347" s="45"/>
      <c r="AY347" s="44"/>
      <c r="AZ347" s="56"/>
      <c r="BA347" s="45"/>
    </row>
    <row r="348" customFormat="false" ht="15" hidden="false" customHeight="false" outlineLevel="0" collapsed="false">
      <c r="A348" s="44"/>
      <c r="B348" s="44"/>
      <c r="C348" s="45"/>
      <c r="D348" s="45"/>
      <c r="E348" s="44"/>
      <c r="F348" s="44"/>
      <c r="G348" s="44"/>
      <c r="H348" s="44"/>
      <c r="I348" s="44"/>
      <c r="J348" s="44"/>
      <c r="K348" s="44"/>
      <c r="L348" s="44"/>
      <c r="M348" s="44"/>
      <c r="N348" s="44"/>
      <c r="O348" s="46"/>
      <c r="P348" s="44"/>
      <c r="Q348" s="46"/>
      <c r="R348" s="44"/>
      <c r="S348" s="45"/>
      <c r="T348" s="44"/>
      <c r="U348" s="44"/>
      <c r="V348" s="47"/>
      <c r="W348" s="48" t="str">
        <f aca="false">IF(V348="","",IFERROR(V348/O348,""))</f>
        <v/>
      </c>
      <c r="X348" s="44"/>
      <c r="Y348" s="46"/>
      <c r="Z348" s="49"/>
      <c r="AA348" s="44"/>
      <c r="AB348" s="50" t="str">
        <f aca="false">IFERROR(INDEX(TABLA_IVA!$C$3:$C$6,MATCH(AA348,TABLA_IVA!$A$3:$A$6,0)),"")</f>
        <v/>
      </c>
      <c r="AC348" s="47"/>
      <c r="AD348" s="44"/>
      <c r="AE348" s="51"/>
      <c r="AF348" s="52" t="str">
        <f aca="false">IF(OR(AC348="",AE348="",AB348=""),"",IFERROR(AC348/(1-AE348)*(1+AB348),""))</f>
        <v/>
      </c>
      <c r="AG348" s="47"/>
      <c r="AH348" s="52" t="str">
        <f aca="false">IF(AD348="FIJO",IF(AG348="","",AG348),IF(AF348&lt;&gt;"",AF348,IF(AG348="","",AG348)))</f>
        <v/>
      </c>
      <c r="AI348" s="52" t="str">
        <f aca="false">IF(OR(AH348="",AB348=""),"",IFERROR(AH348/(1+AB348),""))</f>
        <v/>
      </c>
      <c r="AJ348" s="50" t="str">
        <f aca="false">IF(OR(AI348="",AC348=""),"",IFERROR((AI348-AC348)/AI348,""))</f>
        <v/>
      </c>
      <c r="AK348" s="53" t="str">
        <f aca="false">IF(OR(AJ348="",AE348=""),"",AJ348-AE348)</f>
        <v/>
      </c>
      <c r="AL348" s="54" t="str">
        <f aca="false">IF(OR(AH348="",AF348=""),"",AH348-AF348)</f>
        <v/>
      </c>
      <c r="AM348" s="55" t="str">
        <f aca="false">IF(OR(A348="",K348&lt;&gt;"SI"),"",IF(AE348="","Sin objetivo",IF(AJ348="","Faltan datos",IF(AJ348&lt;0,"PÉRDIDA",IF(AK348&lt;-UMB_CRITICO,"MUY POR DEBAJO",IF(AK348&lt;-UMB_BAJO,"POR DEBAJO",IF(AK348&lt;-UMB_AJUSTADO,"AJUSTADO",IF(AK348&lt;=UMB_ALTO,"EN OBJETIVO","POR ENCIMA"))))))))</f>
        <v/>
      </c>
      <c r="AN348" s="44"/>
      <c r="AO348" s="44"/>
      <c r="AP348" s="46"/>
      <c r="AQ348" s="46"/>
      <c r="AR348" s="46"/>
      <c r="AS348" s="44"/>
      <c r="AT348" s="44"/>
      <c r="AU348" s="44"/>
      <c r="AV348" s="44"/>
      <c r="AW348" s="44"/>
      <c r="AX348" s="45"/>
      <c r="AY348" s="44"/>
      <c r="AZ348" s="56"/>
      <c r="BA348" s="45"/>
    </row>
    <row r="349" customFormat="false" ht="15" hidden="false" customHeight="false" outlineLevel="0" collapsed="false">
      <c r="A349" s="44"/>
      <c r="B349" s="44"/>
      <c r="C349" s="45"/>
      <c r="D349" s="45"/>
      <c r="E349" s="44"/>
      <c r="F349" s="44"/>
      <c r="G349" s="44"/>
      <c r="H349" s="44"/>
      <c r="I349" s="44"/>
      <c r="J349" s="44"/>
      <c r="K349" s="44"/>
      <c r="L349" s="44"/>
      <c r="M349" s="44"/>
      <c r="N349" s="44"/>
      <c r="O349" s="46"/>
      <c r="P349" s="44"/>
      <c r="Q349" s="46"/>
      <c r="R349" s="44"/>
      <c r="S349" s="45"/>
      <c r="T349" s="44"/>
      <c r="U349" s="44"/>
      <c r="V349" s="47"/>
      <c r="W349" s="48" t="str">
        <f aca="false">IF(V349="","",IFERROR(V349/O349,""))</f>
        <v/>
      </c>
      <c r="X349" s="44"/>
      <c r="Y349" s="46"/>
      <c r="Z349" s="49"/>
      <c r="AA349" s="44"/>
      <c r="AB349" s="50" t="str">
        <f aca="false">IFERROR(INDEX(TABLA_IVA!$C$3:$C$6,MATCH(AA349,TABLA_IVA!$A$3:$A$6,0)),"")</f>
        <v/>
      </c>
      <c r="AC349" s="47"/>
      <c r="AD349" s="44"/>
      <c r="AE349" s="51"/>
      <c r="AF349" s="52" t="str">
        <f aca="false">IF(OR(AC349="",AE349="",AB349=""),"",IFERROR(AC349/(1-AE349)*(1+AB349),""))</f>
        <v/>
      </c>
      <c r="AG349" s="47"/>
      <c r="AH349" s="52" t="str">
        <f aca="false">IF(AD349="FIJO",IF(AG349="","",AG349),IF(AF349&lt;&gt;"",AF349,IF(AG349="","",AG349)))</f>
        <v/>
      </c>
      <c r="AI349" s="52" t="str">
        <f aca="false">IF(OR(AH349="",AB349=""),"",IFERROR(AH349/(1+AB349),""))</f>
        <v/>
      </c>
      <c r="AJ349" s="50" t="str">
        <f aca="false">IF(OR(AI349="",AC349=""),"",IFERROR((AI349-AC349)/AI349,""))</f>
        <v/>
      </c>
      <c r="AK349" s="53" t="str">
        <f aca="false">IF(OR(AJ349="",AE349=""),"",AJ349-AE349)</f>
        <v/>
      </c>
      <c r="AL349" s="54" t="str">
        <f aca="false">IF(OR(AH349="",AF349=""),"",AH349-AF349)</f>
        <v/>
      </c>
      <c r="AM349" s="55" t="str">
        <f aca="false">IF(OR(A349="",K349&lt;&gt;"SI"),"",IF(AE349="","Sin objetivo",IF(AJ349="","Faltan datos",IF(AJ349&lt;0,"PÉRDIDA",IF(AK349&lt;-UMB_CRITICO,"MUY POR DEBAJO",IF(AK349&lt;-UMB_BAJO,"POR DEBAJO",IF(AK349&lt;-UMB_AJUSTADO,"AJUSTADO",IF(AK349&lt;=UMB_ALTO,"EN OBJETIVO","POR ENCIMA"))))))))</f>
        <v/>
      </c>
      <c r="AN349" s="44"/>
      <c r="AO349" s="44"/>
      <c r="AP349" s="46"/>
      <c r="AQ349" s="46"/>
      <c r="AR349" s="46"/>
      <c r="AS349" s="44"/>
      <c r="AT349" s="44"/>
      <c r="AU349" s="44"/>
      <c r="AV349" s="44"/>
      <c r="AW349" s="44"/>
      <c r="AX349" s="45"/>
      <c r="AY349" s="44"/>
      <c r="AZ349" s="56"/>
      <c r="BA349" s="45"/>
    </row>
    <row r="350" customFormat="false" ht="15" hidden="false" customHeight="false" outlineLevel="0" collapsed="false">
      <c r="A350" s="44"/>
      <c r="B350" s="44"/>
      <c r="C350" s="45"/>
      <c r="D350" s="45"/>
      <c r="E350" s="44"/>
      <c r="F350" s="44"/>
      <c r="G350" s="44"/>
      <c r="H350" s="44"/>
      <c r="I350" s="44"/>
      <c r="J350" s="44"/>
      <c r="K350" s="44"/>
      <c r="L350" s="44"/>
      <c r="M350" s="44"/>
      <c r="N350" s="44"/>
      <c r="O350" s="46"/>
      <c r="P350" s="44"/>
      <c r="Q350" s="46"/>
      <c r="R350" s="44"/>
      <c r="S350" s="45"/>
      <c r="T350" s="44"/>
      <c r="U350" s="44"/>
      <c r="V350" s="47"/>
      <c r="W350" s="48" t="str">
        <f aca="false">IF(V350="","",IFERROR(V350/O350,""))</f>
        <v/>
      </c>
      <c r="X350" s="44"/>
      <c r="Y350" s="46"/>
      <c r="Z350" s="49"/>
      <c r="AA350" s="44"/>
      <c r="AB350" s="50" t="str">
        <f aca="false">IFERROR(INDEX(TABLA_IVA!$C$3:$C$6,MATCH(AA350,TABLA_IVA!$A$3:$A$6,0)),"")</f>
        <v/>
      </c>
      <c r="AC350" s="47"/>
      <c r="AD350" s="44"/>
      <c r="AE350" s="51"/>
      <c r="AF350" s="52" t="str">
        <f aca="false">IF(OR(AC350="",AE350="",AB350=""),"",IFERROR(AC350/(1-AE350)*(1+AB350),""))</f>
        <v/>
      </c>
      <c r="AG350" s="47"/>
      <c r="AH350" s="52" t="str">
        <f aca="false">IF(AD350="FIJO",IF(AG350="","",AG350),IF(AF350&lt;&gt;"",AF350,IF(AG350="","",AG350)))</f>
        <v/>
      </c>
      <c r="AI350" s="52" t="str">
        <f aca="false">IF(OR(AH350="",AB350=""),"",IFERROR(AH350/(1+AB350),""))</f>
        <v/>
      </c>
      <c r="AJ350" s="50" t="str">
        <f aca="false">IF(OR(AI350="",AC350=""),"",IFERROR((AI350-AC350)/AI350,""))</f>
        <v/>
      </c>
      <c r="AK350" s="53" t="str">
        <f aca="false">IF(OR(AJ350="",AE350=""),"",AJ350-AE350)</f>
        <v/>
      </c>
      <c r="AL350" s="54" t="str">
        <f aca="false">IF(OR(AH350="",AF350=""),"",AH350-AF350)</f>
        <v/>
      </c>
      <c r="AM350" s="55" t="str">
        <f aca="false">IF(OR(A350="",K350&lt;&gt;"SI"),"",IF(AE350="","Sin objetivo",IF(AJ350="","Faltan datos",IF(AJ350&lt;0,"PÉRDIDA",IF(AK350&lt;-UMB_CRITICO,"MUY POR DEBAJO",IF(AK350&lt;-UMB_BAJO,"POR DEBAJO",IF(AK350&lt;-UMB_AJUSTADO,"AJUSTADO",IF(AK350&lt;=UMB_ALTO,"EN OBJETIVO","POR ENCIMA"))))))))</f>
        <v/>
      </c>
      <c r="AN350" s="44"/>
      <c r="AO350" s="44"/>
      <c r="AP350" s="46"/>
      <c r="AQ350" s="46"/>
      <c r="AR350" s="46"/>
      <c r="AS350" s="44"/>
      <c r="AT350" s="44"/>
      <c r="AU350" s="44"/>
      <c r="AV350" s="44"/>
      <c r="AW350" s="44"/>
      <c r="AX350" s="45"/>
      <c r="AY350" s="44"/>
      <c r="AZ350" s="56"/>
      <c r="BA350" s="45"/>
    </row>
    <row r="351" customFormat="false" ht="15" hidden="false" customHeight="false" outlineLevel="0" collapsed="false">
      <c r="A351" s="44"/>
      <c r="B351" s="44"/>
      <c r="C351" s="45"/>
      <c r="D351" s="45"/>
      <c r="E351" s="44"/>
      <c r="F351" s="44"/>
      <c r="G351" s="44"/>
      <c r="H351" s="44"/>
      <c r="I351" s="44"/>
      <c r="J351" s="44"/>
      <c r="K351" s="44"/>
      <c r="L351" s="44"/>
      <c r="M351" s="44"/>
      <c r="N351" s="44"/>
      <c r="O351" s="46"/>
      <c r="P351" s="44"/>
      <c r="Q351" s="46"/>
      <c r="R351" s="44"/>
      <c r="S351" s="45"/>
      <c r="T351" s="44"/>
      <c r="U351" s="44"/>
      <c r="V351" s="47"/>
      <c r="W351" s="48" t="str">
        <f aca="false">IF(V351="","",IFERROR(V351/O351,""))</f>
        <v/>
      </c>
      <c r="X351" s="44"/>
      <c r="Y351" s="46"/>
      <c r="Z351" s="49"/>
      <c r="AA351" s="44"/>
      <c r="AB351" s="50" t="str">
        <f aca="false">IFERROR(INDEX(TABLA_IVA!$C$3:$C$6,MATCH(AA351,TABLA_IVA!$A$3:$A$6,0)),"")</f>
        <v/>
      </c>
      <c r="AC351" s="47"/>
      <c r="AD351" s="44"/>
      <c r="AE351" s="51"/>
      <c r="AF351" s="52" t="str">
        <f aca="false">IF(OR(AC351="",AE351="",AB351=""),"",IFERROR(AC351/(1-AE351)*(1+AB351),""))</f>
        <v/>
      </c>
      <c r="AG351" s="47"/>
      <c r="AH351" s="52" t="str">
        <f aca="false">IF(AD351="FIJO",IF(AG351="","",AG351),IF(AF351&lt;&gt;"",AF351,IF(AG351="","",AG351)))</f>
        <v/>
      </c>
      <c r="AI351" s="52" t="str">
        <f aca="false">IF(OR(AH351="",AB351=""),"",IFERROR(AH351/(1+AB351),""))</f>
        <v/>
      </c>
      <c r="AJ351" s="50" t="str">
        <f aca="false">IF(OR(AI351="",AC351=""),"",IFERROR((AI351-AC351)/AI351,""))</f>
        <v/>
      </c>
      <c r="AK351" s="53" t="str">
        <f aca="false">IF(OR(AJ351="",AE351=""),"",AJ351-AE351)</f>
        <v/>
      </c>
      <c r="AL351" s="54" t="str">
        <f aca="false">IF(OR(AH351="",AF351=""),"",AH351-AF351)</f>
        <v/>
      </c>
      <c r="AM351" s="55" t="str">
        <f aca="false">IF(OR(A351="",K351&lt;&gt;"SI"),"",IF(AE351="","Sin objetivo",IF(AJ351="","Faltan datos",IF(AJ351&lt;0,"PÉRDIDA",IF(AK351&lt;-UMB_CRITICO,"MUY POR DEBAJO",IF(AK351&lt;-UMB_BAJO,"POR DEBAJO",IF(AK351&lt;-UMB_AJUSTADO,"AJUSTADO",IF(AK351&lt;=UMB_ALTO,"EN OBJETIVO","POR ENCIMA"))))))))</f>
        <v/>
      </c>
      <c r="AN351" s="44"/>
      <c r="AO351" s="44"/>
      <c r="AP351" s="46"/>
      <c r="AQ351" s="46"/>
      <c r="AR351" s="46"/>
      <c r="AS351" s="44"/>
      <c r="AT351" s="44"/>
      <c r="AU351" s="44"/>
      <c r="AV351" s="44"/>
      <c r="AW351" s="44"/>
      <c r="AX351" s="45"/>
      <c r="AY351" s="44"/>
      <c r="AZ351" s="56"/>
      <c r="BA351" s="45"/>
    </row>
    <row r="352" customFormat="false" ht="15" hidden="false" customHeight="false" outlineLevel="0" collapsed="false">
      <c r="A352" s="44"/>
      <c r="B352" s="44"/>
      <c r="C352" s="45"/>
      <c r="D352" s="45"/>
      <c r="E352" s="44"/>
      <c r="F352" s="44"/>
      <c r="G352" s="44"/>
      <c r="H352" s="44"/>
      <c r="I352" s="44"/>
      <c r="J352" s="44"/>
      <c r="K352" s="44"/>
      <c r="L352" s="44"/>
      <c r="M352" s="44"/>
      <c r="N352" s="44"/>
      <c r="O352" s="46"/>
      <c r="P352" s="44"/>
      <c r="Q352" s="46"/>
      <c r="R352" s="44"/>
      <c r="S352" s="45"/>
      <c r="T352" s="44"/>
      <c r="U352" s="44"/>
      <c r="V352" s="47"/>
      <c r="W352" s="48" t="str">
        <f aca="false">IF(V352="","",IFERROR(V352/O352,""))</f>
        <v/>
      </c>
      <c r="X352" s="44"/>
      <c r="Y352" s="46"/>
      <c r="Z352" s="49"/>
      <c r="AA352" s="44"/>
      <c r="AB352" s="50" t="str">
        <f aca="false">IFERROR(INDEX(TABLA_IVA!$C$3:$C$6,MATCH(AA352,TABLA_IVA!$A$3:$A$6,0)),"")</f>
        <v/>
      </c>
      <c r="AC352" s="47"/>
      <c r="AD352" s="44"/>
      <c r="AE352" s="51"/>
      <c r="AF352" s="52" t="str">
        <f aca="false">IF(OR(AC352="",AE352="",AB352=""),"",IFERROR(AC352/(1-AE352)*(1+AB352),""))</f>
        <v/>
      </c>
      <c r="AG352" s="47"/>
      <c r="AH352" s="52" t="str">
        <f aca="false">IF(AD352="FIJO",IF(AG352="","",AG352),IF(AF352&lt;&gt;"",AF352,IF(AG352="","",AG352)))</f>
        <v/>
      </c>
      <c r="AI352" s="52" t="str">
        <f aca="false">IF(OR(AH352="",AB352=""),"",IFERROR(AH352/(1+AB352),""))</f>
        <v/>
      </c>
      <c r="AJ352" s="50" t="str">
        <f aca="false">IF(OR(AI352="",AC352=""),"",IFERROR((AI352-AC352)/AI352,""))</f>
        <v/>
      </c>
      <c r="AK352" s="53" t="str">
        <f aca="false">IF(OR(AJ352="",AE352=""),"",AJ352-AE352)</f>
        <v/>
      </c>
      <c r="AL352" s="54" t="str">
        <f aca="false">IF(OR(AH352="",AF352=""),"",AH352-AF352)</f>
        <v/>
      </c>
      <c r="AM352" s="55" t="str">
        <f aca="false">IF(OR(A352="",K352&lt;&gt;"SI"),"",IF(AE352="","Sin objetivo",IF(AJ352="","Faltan datos",IF(AJ352&lt;0,"PÉRDIDA",IF(AK352&lt;-UMB_CRITICO,"MUY POR DEBAJO",IF(AK352&lt;-UMB_BAJO,"POR DEBAJO",IF(AK352&lt;-UMB_AJUSTADO,"AJUSTADO",IF(AK352&lt;=UMB_ALTO,"EN OBJETIVO","POR ENCIMA"))))))))</f>
        <v/>
      </c>
      <c r="AN352" s="44"/>
      <c r="AO352" s="44"/>
      <c r="AP352" s="46"/>
      <c r="AQ352" s="46"/>
      <c r="AR352" s="46"/>
      <c r="AS352" s="44"/>
      <c r="AT352" s="44"/>
      <c r="AU352" s="44"/>
      <c r="AV352" s="44"/>
      <c r="AW352" s="44"/>
      <c r="AX352" s="45"/>
      <c r="AY352" s="44"/>
      <c r="AZ352" s="56"/>
      <c r="BA352" s="45"/>
    </row>
    <row r="353" customFormat="false" ht="15" hidden="false" customHeight="false" outlineLevel="0" collapsed="false">
      <c r="A353" s="44"/>
      <c r="B353" s="44"/>
      <c r="C353" s="45"/>
      <c r="D353" s="45"/>
      <c r="E353" s="44"/>
      <c r="F353" s="44"/>
      <c r="G353" s="44"/>
      <c r="H353" s="44"/>
      <c r="I353" s="44"/>
      <c r="J353" s="44"/>
      <c r="K353" s="44"/>
      <c r="L353" s="44"/>
      <c r="M353" s="44"/>
      <c r="N353" s="44"/>
      <c r="O353" s="46"/>
      <c r="P353" s="44"/>
      <c r="Q353" s="46"/>
      <c r="R353" s="44"/>
      <c r="S353" s="45"/>
      <c r="T353" s="44"/>
      <c r="U353" s="44"/>
      <c r="V353" s="47"/>
      <c r="W353" s="48" t="str">
        <f aca="false">IF(V353="","",IFERROR(V353/O353,""))</f>
        <v/>
      </c>
      <c r="X353" s="44"/>
      <c r="Y353" s="46"/>
      <c r="Z353" s="49"/>
      <c r="AA353" s="44"/>
      <c r="AB353" s="50" t="str">
        <f aca="false">IFERROR(INDEX(TABLA_IVA!$C$3:$C$6,MATCH(AA353,TABLA_IVA!$A$3:$A$6,0)),"")</f>
        <v/>
      </c>
      <c r="AC353" s="47"/>
      <c r="AD353" s="44"/>
      <c r="AE353" s="51"/>
      <c r="AF353" s="52" t="str">
        <f aca="false">IF(OR(AC353="",AE353="",AB353=""),"",IFERROR(AC353/(1-AE353)*(1+AB353),""))</f>
        <v/>
      </c>
      <c r="AG353" s="47"/>
      <c r="AH353" s="52" t="str">
        <f aca="false">IF(AD353="FIJO",IF(AG353="","",AG353),IF(AF353&lt;&gt;"",AF353,IF(AG353="","",AG353)))</f>
        <v/>
      </c>
      <c r="AI353" s="52" t="str">
        <f aca="false">IF(OR(AH353="",AB353=""),"",IFERROR(AH353/(1+AB353),""))</f>
        <v/>
      </c>
      <c r="AJ353" s="50" t="str">
        <f aca="false">IF(OR(AI353="",AC353=""),"",IFERROR((AI353-AC353)/AI353,""))</f>
        <v/>
      </c>
      <c r="AK353" s="53" t="str">
        <f aca="false">IF(OR(AJ353="",AE353=""),"",AJ353-AE353)</f>
        <v/>
      </c>
      <c r="AL353" s="54" t="str">
        <f aca="false">IF(OR(AH353="",AF353=""),"",AH353-AF353)</f>
        <v/>
      </c>
      <c r="AM353" s="55" t="str">
        <f aca="false">IF(OR(A353="",K353&lt;&gt;"SI"),"",IF(AE353="","Sin objetivo",IF(AJ353="","Faltan datos",IF(AJ353&lt;0,"PÉRDIDA",IF(AK353&lt;-UMB_CRITICO,"MUY POR DEBAJO",IF(AK353&lt;-UMB_BAJO,"POR DEBAJO",IF(AK353&lt;-UMB_AJUSTADO,"AJUSTADO",IF(AK353&lt;=UMB_ALTO,"EN OBJETIVO","POR ENCIMA"))))))))</f>
        <v/>
      </c>
      <c r="AN353" s="44"/>
      <c r="AO353" s="44"/>
      <c r="AP353" s="46"/>
      <c r="AQ353" s="46"/>
      <c r="AR353" s="46"/>
      <c r="AS353" s="44"/>
      <c r="AT353" s="44"/>
      <c r="AU353" s="44"/>
      <c r="AV353" s="44"/>
      <c r="AW353" s="44"/>
      <c r="AX353" s="45"/>
      <c r="AY353" s="44"/>
      <c r="AZ353" s="56"/>
      <c r="BA353" s="45"/>
    </row>
    <row r="354" customFormat="false" ht="15" hidden="false" customHeight="false" outlineLevel="0" collapsed="false">
      <c r="A354" s="44"/>
      <c r="B354" s="44"/>
      <c r="C354" s="45"/>
      <c r="D354" s="45"/>
      <c r="E354" s="44"/>
      <c r="F354" s="44"/>
      <c r="G354" s="44"/>
      <c r="H354" s="44"/>
      <c r="I354" s="44"/>
      <c r="J354" s="44"/>
      <c r="K354" s="44"/>
      <c r="L354" s="44"/>
      <c r="M354" s="44"/>
      <c r="N354" s="44"/>
      <c r="O354" s="46"/>
      <c r="P354" s="44"/>
      <c r="Q354" s="46"/>
      <c r="R354" s="44"/>
      <c r="S354" s="45"/>
      <c r="T354" s="44"/>
      <c r="U354" s="44"/>
      <c r="V354" s="47"/>
      <c r="W354" s="48" t="str">
        <f aca="false">IF(V354="","",IFERROR(V354/O354,""))</f>
        <v/>
      </c>
      <c r="X354" s="44"/>
      <c r="Y354" s="46"/>
      <c r="Z354" s="49"/>
      <c r="AA354" s="44"/>
      <c r="AB354" s="50" t="str">
        <f aca="false">IFERROR(INDEX(TABLA_IVA!$C$3:$C$6,MATCH(AA354,TABLA_IVA!$A$3:$A$6,0)),"")</f>
        <v/>
      </c>
      <c r="AC354" s="47"/>
      <c r="AD354" s="44"/>
      <c r="AE354" s="51"/>
      <c r="AF354" s="52" t="str">
        <f aca="false">IF(OR(AC354="",AE354="",AB354=""),"",IFERROR(AC354/(1-AE354)*(1+AB354),""))</f>
        <v/>
      </c>
      <c r="AG354" s="47"/>
      <c r="AH354" s="52" t="str">
        <f aca="false">IF(AD354="FIJO",IF(AG354="","",AG354),IF(AF354&lt;&gt;"",AF354,IF(AG354="","",AG354)))</f>
        <v/>
      </c>
      <c r="AI354" s="52" t="str">
        <f aca="false">IF(OR(AH354="",AB354=""),"",IFERROR(AH354/(1+AB354),""))</f>
        <v/>
      </c>
      <c r="AJ354" s="50" t="str">
        <f aca="false">IF(OR(AI354="",AC354=""),"",IFERROR((AI354-AC354)/AI354,""))</f>
        <v/>
      </c>
      <c r="AK354" s="53" t="str">
        <f aca="false">IF(OR(AJ354="",AE354=""),"",AJ354-AE354)</f>
        <v/>
      </c>
      <c r="AL354" s="54" t="str">
        <f aca="false">IF(OR(AH354="",AF354=""),"",AH354-AF354)</f>
        <v/>
      </c>
      <c r="AM354" s="55" t="str">
        <f aca="false">IF(OR(A354="",K354&lt;&gt;"SI"),"",IF(AE354="","Sin objetivo",IF(AJ354="","Faltan datos",IF(AJ354&lt;0,"PÉRDIDA",IF(AK354&lt;-UMB_CRITICO,"MUY POR DEBAJO",IF(AK354&lt;-UMB_BAJO,"POR DEBAJO",IF(AK354&lt;-UMB_AJUSTADO,"AJUSTADO",IF(AK354&lt;=UMB_ALTO,"EN OBJETIVO","POR ENCIMA"))))))))</f>
        <v/>
      </c>
      <c r="AN354" s="44"/>
      <c r="AO354" s="44"/>
      <c r="AP354" s="46"/>
      <c r="AQ354" s="46"/>
      <c r="AR354" s="46"/>
      <c r="AS354" s="44"/>
      <c r="AT354" s="44"/>
      <c r="AU354" s="44"/>
      <c r="AV354" s="44"/>
      <c r="AW354" s="44"/>
      <c r="AX354" s="45"/>
      <c r="AY354" s="44"/>
      <c r="AZ354" s="56"/>
      <c r="BA354" s="45"/>
    </row>
    <row r="355" customFormat="false" ht="15" hidden="false" customHeight="false" outlineLevel="0" collapsed="false">
      <c r="A355" s="44"/>
      <c r="B355" s="44"/>
      <c r="C355" s="45"/>
      <c r="D355" s="45"/>
      <c r="E355" s="44"/>
      <c r="F355" s="44"/>
      <c r="G355" s="44"/>
      <c r="H355" s="44"/>
      <c r="I355" s="44"/>
      <c r="J355" s="44"/>
      <c r="K355" s="44"/>
      <c r="L355" s="44"/>
      <c r="M355" s="44"/>
      <c r="N355" s="44"/>
      <c r="O355" s="46"/>
      <c r="P355" s="44"/>
      <c r="Q355" s="46"/>
      <c r="R355" s="44"/>
      <c r="S355" s="45"/>
      <c r="T355" s="44"/>
      <c r="U355" s="44"/>
      <c r="V355" s="47"/>
      <c r="W355" s="48" t="str">
        <f aca="false">IF(V355="","",IFERROR(V355/O355,""))</f>
        <v/>
      </c>
      <c r="X355" s="44"/>
      <c r="Y355" s="46"/>
      <c r="Z355" s="49"/>
      <c r="AA355" s="44"/>
      <c r="AB355" s="50" t="str">
        <f aca="false">IFERROR(INDEX(TABLA_IVA!$C$3:$C$6,MATCH(AA355,TABLA_IVA!$A$3:$A$6,0)),"")</f>
        <v/>
      </c>
      <c r="AC355" s="47"/>
      <c r="AD355" s="44"/>
      <c r="AE355" s="51"/>
      <c r="AF355" s="52" t="str">
        <f aca="false">IF(OR(AC355="",AE355="",AB355=""),"",IFERROR(AC355/(1-AE355)*(1+AB355),""))</f>
        <v/>
      </c>
      <c r="AG355" s="47"/>
      <c r="AH355" s="52" t="str">
        <f aca="false">IF(AD355="FIJO",IF(AG355="","",AG355),IF(AF355&lt;&gt;"",AF355,IF(AG355="","",AG355)))</f>
        <v/>
      </c>
      <c r="AI355" s="52" t="str">
        <f aca="false">IF(OR(AH355="",AB355=""),"",IFERROR(AH355/(1+AB355),""))</f>
        <v/>
      </c>
      <c r="AJ355" s="50" t="str">
        <f aca="false">IF(OR(AI355="",AC355=""),"",IFERROR((AI355-AC355)/AI355,""))</f>
        <v/>
      </c>
      <c r="AK355" s="53" t="str">
        <f aca="false">IF(OR(AJ355="",AE355=""),"",AJ355-AE355)</f>
        <v/>
      </c>
      <c r="AL355" s="54" t="str">
        <f aca="false">IF(OR(AH355="",AF355=""),"",AH355-AF355)</f>
        <v/>
      </c>
      <c r="AM355" s="55" t="str">
        <f aca="false">IF(OR(A355="",K355&lt;&gt;"SI"),"",IF(AE355="","Sin objetivo",IF(AJ355="","Faltan datos",IF(AJ355&lt;0,"PÉRDIDA",IF(AK355&lt;-UMB_CRITICO,"MUY POR DEBAJO",IF(AK355&lt;-UMB_BAJO,"POR DEBAJO",IF(AK355&lt;-UMB_AJUSTADO,"AJUSTADO",IF(AK355&lt;=UMB_ALTO,"EN OBJETIVO","POR ENCIMA"))))))))</f>
        <v/>
      </c>
      <c r="AN355" s="44"/>
      <c r="AO355" s="44"/>
      <c r="AP355" s="46"/>
      <c r="AQ355" s="46"/>
      <c r="AR355" s="46"/>
      <c r="AS355" s="44"/>
      <c r="AT355" s="44"/>
      <c r="AU355" s="44"/>
      <c r="AV355" s="44"/>
      <c r="AW355" s="44"/>
      <c r="AX355" s="45"/>
      <c r="AY355" s="44"/>
      <c r="AZ355" s="56"/>
      <c r="BA355" s="45"/>
    </row>
    <row r="356" customFormat="false" ht="15" hidden="false" customHeight="false" outlineLevel="0" collapsed="false">
      <c r="A356" s="44"/>
      <c r="B356" s="44"/>
      <c r="C356" s="45"/>
      <c r="D356" s="45"/>
      <c r="E356" s="44"/>
      <c r="F356" s="44"/>
      <c r="G356" s="44"/>
      <c r="H356" s="44"/>
      <c r="I356" s="44"/>
      <c r="J356" s="44"/>
      <c r="K356" s="44"/>
      <c r="L356" s="44"/>
      <c r="M356" s="44"/>
      <c r="N356" s="44"/>
      <c r="O356" s="46"/>
      <c r="P356" s="44"/>
      <c r="Q356" s="46"/>
      <c r="R356" s="44"/>
      <c r="S356" s="45"/>
      <c r="T356" s="44"/>
      <c r="U356" s="44"/>
      <c r="V356" s="47"/>
      <c r="W356" s="48" t="str">
        <f aca="false">IF(V356="","",IFERROR(V356/O356,""))</f>
        <v/>
      </c>
      <c r="X356" s="44"/>
      <c r="Y356" s="46"/>
      <c r="Z356" s="49"/>
      <c r="AA356" s="44"/>
      <c r="AB356" s="50" t="str">
        <f aca="false">IFERROR(INDEX(TABLA_IVA!$C$3:$C$6,MATCH(AA356,TABLA_IVA!$A$3:$A$6,0)),"")</f>
        <v/>
      </c>
      <c r="AC356" s="47"/>
      <c r="AD356" s="44"/>
      <c r="AE356" s="51"/>
      <c r="AF356" s="52" t="str">
        <f aca="false">IF(OR(AC356="",AE356="",AB356=""),"",IFERROR(AC356/(1-AE356)*(1+AB356),""))</f>
        <v/>
      </c>
      <c r="AG356" s="47"/>
      <c r="AH356" s="52" t="str">
        <f aca="false">IF(AD356="FIJO",IF(AG356="","",AG356),IF(AF356&lt;&gt;"",AF356,IF(AG356="","",AG356)))</f>
        <v/>
      </c>
      <c r="AI356" s="52" t="str">
        <f aca="false">IF(OR(AH356="",AB356=""),"",IFERROR(AH356/(1+AB356),""))</f>
        <v/>
      </c>
      <c r="AJ356" s="50" t="str">
        <f aca="false">IF(OR(AI356="",AC356=""),"",IFERROR((AI356-AC356)/AI356,""))</f>
        <v/>
      </c>
      <c r="AK356" s="53" t="str">
        <f aca="false">IF(OR(AJ356="",AE356=""),"",AJ356-AE356)</f>
        <v/>
      </c>
      <c r="AL356" s="54" t="str">
        <f aca="false">IF(OR(AH356="",AF356=""),"",AH356-AF356)</f>
        <v/>
      </c>
      <c r="AM356" s="55" t="str">
        <f aca="false">IF(OR(A356="",K356&lt;&gt;"SI"),"",IF(AE356="","Sin objetivo",IF(AJ356="","Faltan datos",IF(AJ356&lt;0,"PÉRDIDA",IF(AK356&lt;-UMB_CRITICO,"MUY POR DEBAJO",IF(AK356&lt;-UMB_BAJO,"POR DEBAJO",IF(AK356&lt;-UMB_AJUSTADO,"AJUSTADO",IF(AK356&lt;=UMB_ALTO,"EN OBJETIVO","POR ENCIMA"))))))))</f>
        <v/>
      </c>
      <c r="AN356" s="44"/>
      <c r="AO356" s="44"/>
      <c r="AP356" s="46"/>
      <c r="AQ356" s="46"/>
      <c r="AR356" s="46"/>
      <c r="AS356" s="44"/>
      <c r="AT356" s="44"/>
      <c r="AU356" s="44"/>
      <c r="AV356" s="44"/>
      <c r="AW356" s="44"/>
      <c r="AX356" s="45"/>
      <c r="AY356" s="44"/>
      <c r="AZ356" s="56"/>
      <c r="BA356" s="45"/>
    </row>
    <row r="357" customFormat="false" ht="15" hidden="false" customHeight="false" outlineLevel="0" collapsed="false">
      <c r="A357" s="44"/>
      <c r="B357" s="44"/>
      <c r="C357" s="45"/>
      <c r="D357" s="45"/>
      <c r="E357" s="44"/>
      <c r="F357" s="44"/>
      <c r="G357" s="44"/>
      <c r="H357" s="44"/>
      <c r="I357" s="44"/>
      <c r="J357" s="44"/>
      <c r="K357" s="44"/>
      <c r="L357" s="44"/>
      <c r="M357" s="44"/>
      <c r="N357" s="44"/>
      <c r="O357" s="46"/>
      <c r="P357" s="44"/>
      <c r="Q357" s="46"/>
      <c r="R357" s="44"/>
      <c r="S357" s="45"/>
      <c r="T357" s="44"/>
      <c r="U357" s="44"/>
      <c r="V357" s="47"/>
      <c r="W357" s="48" t="str">
        <f aca="false">IF(V357="","",IFERROR(V357/O357,""))</f>
        <v/>
      </c>
      <c r="X357" s="44"/>
      <c r="Y357" s="46"/>
      <c r="Z357" s="49"/>
      <c r="AA357" s="44"/>
      <c r="AB357" s="50" t="str">
        <f aca="false">IFERROR(INDEX(TABLA_IVA!$C$3:$C$6,MATCH(AA357,TABLA_IVA!$A$3:$A$6,0)),"")</f>
        <v/>
      </c>
      <c r="AC357" s="47"/>
      <c r="AD357" s="44"/>
      <c r="AE357" s="51"/>
      <c r="AF357" s="52" t="str">
        <f aca="false">IF(OR(AC357="",AE357="",AB357=""),"",IFERROR(AC357/(1-AE357)*(1+AB357),""))</f>
        <v/>
      </c>
      <c r="AG357" s="47"/>
      <c r="AH357" s="52" t="str">
        <f aca="false">IF(AD357="FIJO",IF(AG357="","",AG357),IF(AF357&lt;&gt;"",AF357,IF(AG357="","",AG357)))</f>
        <v/>
      </c>
      <c r="AI357" s="52" t="str">
        <f aca="false">IF(OR(AH357="",AB357=""),"",IFERROR(AH357/(1+AB357),""))</f>
        <v/>
      </c>
      <c r="AJ357" s="50" t="str">
        <f aca="false">IF(OR(AI357="",AC357=""),"",IFERROR((AI357-AC357)/AI357,""))</f>
        <v/>
      </c>
      <c r="AK357" s="53" t="str">
        <f aca="false">IF(OR(AJ357="",AE357=""),"",AJ357-AE357)</f>
        <v/>
      </c>
      <c r="AL357" s="54" t="str">
        <f aca="false">IF(OR(AH357="",AF357=""),"",AH357-AF357)</f>
        <v/>
      </c>
      <c r="AM357" s="55" t="str">
        <f aca="false">IF(OR(A357="",K357&lt;&gt;"SI"),"",IF(AE357="","Sin objetivo",IF(AJ357="","Faltan datos",IF(AJ357&lt;0,"PÉRDIDA",IF(AK357&lt;-UMB_CRITICO,"MUY POR DEBAJO",IF(AK357&lt;-UMB_BAJO,"POR DEBAJO",IF(AK357&lt;-UMB_AJUSTADO,"AJUSTADO",IF(AK357&lt;=UMB_ALTO,"EN OBJETIVO","POR ENCIMA"))))))))</f>
        <v/>
      </c>
      <c r="AN357" s="44"/>
      <c r="AO357" s="44"/>
      <c r="AP357" s="46"/>
      <c r="AQ357" s="46"/>
      <c r="AR357" s="46"/>
      <c r="AS357" s="44"/>
      <c r="AT357" s="44"/>
      <c r="AU357" s="44"/>
      <c r="AV357" s="44"/>
      <c r="AW357" s="44"/>
      <c r="AX357" s="45"/>
      <c r="AY357" s="44"/>
      <c r="AZ357" s="56"/>
      <c r="BA357" s="45"/>
    </row>
    <row r="358" customFormat="false" ht="15" hidden="false" customHeight="false" outlineLevel="0" collapsed="false">
      <c r="A358" s="44"/>
      <c r="B358" s="44"/>
      <c r="C358" s="45"/>
      <c r="D358" s="45"/>
      <c r="E358" s="44"/>
      <c r="F358" s="44"/>
      <c r="G358" s="44"/>
      <c r="H358" s="44"/>
      <c r="I358" s="44"/>
      <c r="J358" s="44"/>
      <c r="K358" s="44"/>
      <c r="L358" s="44"/>
      <c r="M358" s="44"/>
      <c r="N358" s="44"/>
      <c r="O358" s="46"/>
      <c r="P358" s="44"/>
      <c r="Q358" s="46"/>
      <c r="R358" s="44"/>
      <c r="S358" s="45"/>
      <c r="T358" s="44"/>
      <c r="U358" s="44"/>
      <c r="V358" s="47"/>
      <c r="W358" s="48" t="str">
        <f aca="false">IF(V358="","",IFERROR(V358/O358,""))</f>
        <v/>
      </c>
      <c r="X358" s="44"/>
      <c r="Y358" s="46"/>
      <c r="Z358" s="49"/>
      <c r="AA358" s="44"/>
      <c r="AB358" s="50" t="str">
        <f aca="false">IFERROR(INDEX(TABLA_IVA!$C$3:$C$6,MATCH(AA358,TABLA_IVA!$A$3:$A$6,0)),"")</f>
        <v/>
      </c>
      <c r="AC358" s="47"/>
      <c r="AD358" s="44"/>
      <c r="AE358" s="51"/>
      <c r="AF358" s="52" t="str">
        <f aca="false">IF(OR(AC358="",AE358="",AB358=""),"",IFERROR(AC358/(1-AE358)*(1+AB358),""))</f>
        <v/>
      </c>
      <c r="AG358" s="47"/>
      <c r="AH358" s="52" t="str">
        <f aca="false">IF(AD358="FIJO",IF(AG358="","",AG358),IF(AF358&lt;&gt;"",AF358,IF(AG358="","",AG358)))</f>
        <v/>
      </c>
      <c r="AI358" s="52" t="str">
        <f aca="false">IF(OR(AH358="",AB358=""),"",IFERROR(AH358/(1+AB358),""))</f>
        <v/>
      </c>
      <c r="AJ358" s="50" t="str">
        <f aca="false">IF(OR(AI358="",AC358=""),"",IFERROR((AI358-AC358)/AI358,""))</f>
        <v/>
      </c>
      <c r="AK358" s="53" t="str">
        <f aca="false">IF(OR(AJ358="",AE358=""),"",AJ358-AE358)</f>
        <v/>
      </c>
      <c r="AL358" s="54" t="str">
        <f aca="false">IF(OR(AH358="",AF358=""),"",AH358-AF358)</f>
        <v/>
      </c>
      <c r="AM358" s="55" t="str">
        <f aca="false">IF(OR(A358="",K358&lt;&gt;"SI"),"",IF(AE358="","Sin objetivo",IF(AJ358="","Faltan datos",IF(AJ358&lt;0,"PÉRDIDA",IF(AK358&lt;-UMB_CRITICO,"MUY POR DEBAJO",IF(AK358&lt;-UMB_BAJO,"POR DEBAJO",IF(AK358&lt;-UMB_AJUSTADO,"AJUSTADO",IF(AK358&lt;=UMB_ALTO,"EN OBJETIVO","POR ENCIMA"))))))))</f>
        <v/>
      </c>
      <c r="AN358" s="44"/>
      <c r="AO358" s="44"/>
      <c r="AP358" s="46"/>
      <c r="AQ358" s="46"/>
      <c r="AR358" s="46"/>
      <c r="AS358" s="44"/>
      <c r="AT358" s="44"/>
      <c r="AU358" s="44"/>
      <c r="AV358" s="44"/>
      <c r="AW358" s="44"/>
      <c r="AX358" s="45"/>
      <c r="AY358" s="44"/>
      <c r="AZ358" s="56"/>
      <c r="BA358" s="45"/>
    </row>
    <row r="359" customFormat="false" ht="15" hidden="false" customHeight="false" outlineLevel="0" collapsed="false">
      <c r="A359" s="44"/>
      <c r="B359" s="44"/>
      <c r="C359" s="45"/>
      <c r="D359" s="45"/>
      <c r="E359" s="44"/>
      <c r="F359" s="44"/>
      <c r="G359" s="44"/>
      <c r="H359" s="44"/>
      <c r="I359" s="44"/>
      <c r="J359" s="44"/>
      <c r="K359" s="44"/>
      <c r="L359" s="44"/>
      <c r="M359" s="44"/>
      <c r="N359" s="44"/>
      <c r="O359" s="46"/>
      <c r="P359" s="44"/>
      <c r="Q359" s="46"/>
      <c r="R359" s="44"/>
      <c r="S359" s="45"/>
      <c r="T359" s="44"/>
      <c r="U359" s="44"/>
      <c r="V359" s="47"/>
      <c r="W359" s="48" t="str">
        <f aca="false">IF(V359="","",IFERROR(V359/O359,""))</f>
        <v/>
      </c>
      <c r="X359" s="44"/>
      <c r="Y359" s="46"/>
      <c r="Z359" s="49"/>
      <c r="AA359" s="44"/>
      <c r="AB359" s="50" t="str">
        <f aca="false">IFERROR(INDEX(TABLA_IVA!$C$3:$C$6,MATCH(AA359,TABLA_IVA!$A$3:$A$6,0)),"")</f>
        <v/>
      </c>
      <c r="AC359" s="47"/>
      <c r="AD359" s="44"/>
      <c r="AE359" s="51"/>
      <c r="AF359" s="52" t="str">
        <f aca="false">IF(OR(AC359="",AE359="",AB359=""),"",IFERROR(AC359/(1-AE359)*(1+AB359),""))</f>
        <v/>
      </c>
      <c r="AG359" s="47"/>
      <c r="AH359" s="52" t="str">
        <f aca="false">IF(AD359="FIJO",IF(AG359="","",AG359),IF(AF359&lt;&gt;"",AF359,IF(AG359="","",AG359)))</f>
        <v/>
      </c>
      <c r="AI359" s="52" t="str">
        <f aca="false">IF(OR(AH359="",AB359=""),"",IFERROR(AH359/(1+AB359),""))</f>
        <v/>
      </c>
      <c r="AJ359" s="50" t="str">
        <f aca="false">IF(OR(AI359="",AC359=""),"",IFERROR((AI359-AC359)/AI359,""))</f>
        <v/>
      </c>
      <c r="AK359" s="53" t="str">
        <f aca="false">IF(OR(AJ359="",AE359=""),"",AJ359-AE359)</f>
        <v/>
      </c>
      <c r="AL359" s="54" t="str">
        <f aca="false">IF(OR(AH359="",AF359=""),"",AH359-AF359)</f>
        <v/>
      </c>
      <c r="AM359" s="55" t="str">
        <f aca="false">IF(OR(A359="",K359&lt;&gt;"SI"),"",IF(AE359="","Sin objetivo",IF(AJ359="","Faltan datos",IF(AJ359&lt;0,"PÉRDIDA",IF(AK359&lt;-UMB_CRITICO,"MUY POR DEBAJO",IF(AK359&lt;-UMB_BAJO,"POR DEBAJO",IF(AK359&lt;-UMB_AJUSTADO,"AJUSTADO",IF(AK359&lt;=UMB_ALTO,"EN OBJETIVO","POR ENCIMA"))))))))</f>
        <v/>
      </c>
      <c r="AN359" s="44"/>
      <c r="AO359" s="44"/>
      <c r="AP359" s="46"/>
      <c r="AQ359" s="46"/>
      <c r="AR359" s="46"/>
      <c r="AS359" s="44"/>
      <c r="AT359" s="44"/>
      <c r="AU359" s="44"/>
      <c r="AV359" s="44"/>
      <c r="AW359" s="44"/>
      <c r="AX359" s="45"/>
      <c r="AY359" s="44"/>
      <c r="AZ359" s="56"/>
      <c r="BA359" s="45"/>
    </row>
    <row r="360" customFormat="false" ht="15" hidden="false" customHeight="false" outlineLevel="0" collapsed="false">
      <c r="A360" s="44"/>
      <c r="B360" s="44"/>
      <c r="C360" s="45"/>
      <c r="D360" s="45"/>
      <c r="E360" s="44"/>
      <c r="F360" s="44"/>
      <c r="G360" s="44"/>
      <c r="H360" s="44"/>
      <c r="I360" s="44"/>
      <c r="J360" s="44"/>
      <c r="K360" s="44"/>
      <c r="L360" s="44"/>
      <c r="M360" s="44"/>
      <c r="N360" s="44"/>
      <c r="O360" s="46"/>
      <c r="P360" s="44"/>
      <c r="Q360" s="46"/>
      <c r="R360" s="44"/>
      <c r="S360" s="45"/>
      <c r="T360" s="44"/>
      <c r="U360" s="44"/>
      <c r="V360" s="47"/>
      <c r="W360" s="48" t="str">
        <f aca="false">IF(V360="","",IFERROR(V360/O360,""))</f>
        <v/>
      </c>
      <c r="X360" s="44"/>
      <c r="Y360" s="46"/>
      <c r="Z360" s="49"/>
      <c r="AA360" s="44"/>
      <c r="AB360" s="50" t="str">
        <f aca="false">IFERROR(INDEX(TABLA_IVA!$C$3:$C$6,MATCH(AA360,TABLA_IVA!$A$3:$A$6,0)),"")</f>
        <v/>
      </c>
      <c r="AC360" s="47"/>
      <c r="AD360" s="44"/>
      <c r="AE360" s="51"/>
      <c r="AF360" s="52" t="str">
        <f aca="false">IF(OR(AC360="",AE360="",AB360=""),"",IFERROR(AC360/(1-AE360)*(1+AB360),""))</f>
        <v/>
      </c>
      <c r="AG360" s="47"/>
      <c r="AH360" s="52" t="str">
        <f aca="false">IF(AD360="FIJO",IF(AG360="","",AG360),IF(AF360&lt;&gt;"",AF360,IF(AG360="","",AG360)))</f>
        <v/>
      </c>
      <c r="AI360" s="52" t="str">
        <f aca="false">IF(OR(AH360="",AB360=""),"",IFERROR(AH360/(1+AB360),""))</f>
        <v/>
      </c>
      <c r="AJ360" s="50" t="str">
        <f aca="false">IF(OR(AI360="",AC360=""),"",IFERROR((AI360-AC360)/AI360,""))</f>
        <v/>
      </c>
      <c r="AK360" s="53" t="str">
        <f aca="false">IF(OR(AJ360="",AE360=""),"",AJ360-AE360)</f>
        <v/>
      </c>
      <c r="AL360" s="54" t="str">
        <f aca="false">IF(OR(AH360="",AF360=""),"",AH360-AF360)</f>
        <v/>
      </c>
      <c r="AM360" s="55" t="str">
        <f aca="false">IF(OR(A360="",K360&lt;&gt;"SI"),"",IF(AE360="","Sin objetivo",IF(AJ360="","Faltan datos",IF(AJ360&lt;0,"PÉRDIDA",IF(AK360&lt;-UMB_CRITICO,"MUY POR DEBAJO",IF(AK360&lt;-UMB_BAJO,"POR DEBAJO",IF(AK360&lt;-UMB_AJUSTADO,"AJUSTADO",IF(AK360&lt;=UMB_ALTO,"EN OBJETIVO","POR ENCIMA"))))))))</f>
        <v/>
      </c>
      <c r="AN360" s="44"/>
      <c r="AO360" s="44"/>
      <c r="AP360" s="46"/>
      <c r="AQ360" s="46"/>
      <c r="AR360" s="46"/>
      <c r="AS360" s="44"/>
      <c r="AT360" s="44"/>
      <c r="AU360" s="44"/>
      <c r="AV360" s="44"/>
      <c r="AW360" s="44"/>
      <c r="AX360" s="45"/>
      <c r="AY360" s="44"/>
      <c r="AZ360" s="56"/>
      <c r="BA360" s="45"/>
    </row>
    <row r="361" customFormat="false" ht="15" hidden="false" customHeight="false" outlineLevel="0" collapsed="false">
      <c r="A361" s="44"/>
      <c r="B361" s="44"/>
      <c r="C361" s="45"/>
      <c r="D361" s="45"/>
      <c r="E361" s="44"/>
      <c r="F361" s="44"/>
      <c r="G361" s="44"/>
      <c r="H361" s="44"/>
      <c r="I361" s="44"/>
      <c r="J361" s="44"/>
      <c r="K361" s="44"/>
      <c r="L361" s="44"/>
      <c r="M361" s="44"/>
      <c r="N361" s="44"/>
      <c r="O361" s="46"/>
      <c r="P361" s="44"/>
      <c r="Q361" s="46"/>
      <c r="R361" s="44"/>
      <c r="S361" s="45"/>
      <c r="T361" s="44"/>
      <c r="U361" s="44"/>
      <c r="V361" s="47"/>
      <c r="W361" s="48" t="str">
        <f aca="false">IF(V361="","",IFERROR(V361/O361,""))</f>
        <v/>
      </c>
      <c r="X361" s="44"/>
      <c r="Y361" s="46"/>
      <c r="Z361" s="49"/>
      <c r="AA361" s="44"/>
      <c r="AB361" s="50" t="str">
        <f aca="false">IFERROR(INDEX(TABLA_IVA!$C$3:$C$6,MATCH(AA361,TABLA_IVA!$A$3:$A$6,0)),"")</f>
        <v/>
      </c>
      <c r="AC361" s="47"/>
      <c r="AD361" s="44"/>
      <c r="AE361" s="51"/>
      <c r="AF361" s="52" t="str">
        <f aca="false">IF(OR(AC361="",AE361="",AB361=""),"",IFERROR(AC361/(1-AE361)*(1+AB361),""))</f>
        <v/>
      </c>
      <c r="AG361" s="47"/>
      <c r="AH361" s="52" t="str">
        <f aca="false">IF(AD361="FIJO",IF(AG361="","",AG361),IF(AF361&lt;&gt;"",AF361,IF(AG361="","",AG361)))</f>
        <v/>
      </c>
      <c r="AI361" s="52" t="str">
        <f aca="false">IF(OR(AH361="",AB361=""),"",IFERROR(AH361/(1+AB361),""))</f>
        <v/>
      </c>
      <c r="AJ361" s="50" t="str">
        <f aca="false">IF(OR(AI361="",AC361=""),"",IFERROR((AI361-AC361)/AI361,""))</f>
        <v/>
      </c>
      <c r="AK361" s="53" t="str">
        <f aca="false">IF(OR(AJ361="",AE361=""),"",AJ361-AE361)</f>
        <v/>
      </c>
      <c r="AL361" s="54" t="str">
        <f aca="false">IF(OR(AH361="",AF361=""),"",AH361-AF361)</f>
        <v/>
      </c>
      <c r="AM361" s="55" t="str">
        <f aca="false">IF(OR(A361="",K361&lt;&gt;"SI"),"",IF(AE361="","Sin objetivo",IF(AJ361="","Faltan datos",IF(AJ361&lt;0,"PÉRDIDA",IF(AK361&lt;-UMB_CRITICO,"MUY POR DEBAJO",IF(AK361&lt;-UMB_BAJO,"POR DEBAJO",IF(AK361&lt;-UMB_AJUSTADO,"AJUSTADO",IF(AK361&lt;=UMB_ALTO,"EN OBJETIVO","POR ENCIMA"))))))))</f>
        <v/>
      </c>
      <c r="AN361" s="44"/>
      <c r="AO361" s="44"/>
      <c r="AP361" s="46"/>
      <c r="AQ361" s="46"/>
      <c r="AR361" s="46"/>
      <c r="AS361" s="44"/>
      <c r="AT361" s="44"/>
      <c r="AU361" s="44"/>
      <c r="AV361" s="44"/>
      <c r="AW361" s="44"/>
      <c r="AX361" s="45"/>
      <c r="AY361" s="44"/>
      <c r="AZ361" s="56"/>
      <c r="BA361" s="45"/>
    </row>
    <row r="362" customFormat="false" ht="15" hidden="false" customHeight="false" outlineLevel="0" collapsed="false">
      <c r="A362" s="44"/>
      <c r="B362" s="44"/>
      <c r="C362" s="45"/>
      <c r="D362" s="45"/>
      <c r="E362" s="44"/>
      <c r="F362" s="44"/>
      <c r="G362" s="44"/>
      <c r="H362" s="44"/>
      <c r="I362" s="44"/>
      <c r="J362" s="44"/>
      <c r="K362" s="44"/>
      <c r="L362" s="44"/>
      <c r="M362" s="44"/>
      <c r="N362" s="44"/>
      <c r="O362" s="46"/>
      <c r="P362" s="44"/>
      <c r="Q362" s="46"/>
      <c r="R362" s="44"/>
      <c r="S362" s="45"/>
      <c r="T362" s="44"/>
      <c r="U362" s="44"/>
      <c r="V362" s="47"/>
      <c r="W362" s="48" t="str">
        <f aca="false">IF(V362="","",IFERROR(V362/O362,""))</f>
        <v/>
      </c>
      <c r="X362" s="44"/>
      <c r="Y362" s="46"/>
      <c r="Z362" s="49"/>
      <c r="AA362" s="44"/>
      <c r="AB362" s="50" t="str">
        <f aca="false">IFERROR(INDEX(TABLA_IVA!$C$3:$C$6,MATCH(AA362,TABLA_IVA!$A$3:$A$6,0)),"")</f>
        <v/>
      </c>
      <c r="AC362" s="47"/>
      <c r="AD362" s="44"/>
      <c r="AE362" s="51"/>
      <c r="AF362" s="52" t="str">
        <f aca="false">IF(OR(AC362="",AE362="",AB362=""),"",IFERROR(AC362/(1-AE362)*(1+AB362),""))</f>
        <v/>
      </c>
      <c r="AG362" s="47"/>
      <c r="AH362" s="52" t="str">
        <f aca="false">IF(AD362="FIJO",IF(AG362="","",AG362),IF(AF362&lt;&gt;"",AF362,IF(AG362="","",AG362)))</f>
        <v/>
      </c>
      <c r="AI362" s="52" t="str">
        <f aca="false">IF(OR(AH362="",AB362=""),"",IFERROR(AH362/(1+AB362),""))</f>
        <v/>
      </c>
      <c r="AJ362" s="50" t="str">
        <f aca="false">IF(OR(AI362="",AC362=""),"",IFERROR((AI362-AC362)/AI362,""))</f>
        <v/>
      </c>
      <c r="AK362" s="53" t="str">
        <f aca="false">IF(OR(AJ362="",AE362=""),"",AJ362-AE362)</f>
        <v/>
      </c>
      <c r="AL362" s="54" t="str">
        <f aca="false">IF(OR(AH362="",AF362=""),"",AH362-AF362)</f>
        <v/>
      </c>
      <c r="AM362" s="55" t="str">
        <f aca="false">IF(OR(A362="",K362&lt;&gt;"SI"),"",IF(AE362="","Sin objetivo",IF(AJ362="","Faltan datos",IF(AJ362&lt;0,"PÉRDIDA",IF(AK362&lt;-UMB_CRITICO,"MUY POR DEBAJO",IF(AK362&lt;-UMB_BAJO,"POR DEBAJO",IF(AK362&lt;-UMB_AJUSTADO,"AJUSTADO",IF(AK362&lt;=UMB_ALTO,"EN OBJETIVO","POR ENCIMA"))))))))</f>
        <v/>
      </c>
      <c r="AN362" s="44"/>
      <c r="AO362" s="44"/>
      <c r="AP362" s="46"/>
      <c r="AQ362" s="46"/>
      <c r="AR362" s="46"/>
      <c r="AS362" s="44"/>
      <c r="AT362" s="44"/>
      <c r="AU362" s="44"/>
      <c r="AV362" s="44"/>
      <c r="AW362" s="44"/>
      <c r="AX362" s="45"/>
      <c r="AY362" s="44"/>
      <c r="AZ362" s="56"/>
      <c r="BA362" s="45"/>
    </row>
    <row r="363" customFormat="false" ht="15" hidden="false" customHeight="false" outlineLevel="0" collapsed="false">
      <c r="A363" s="44"/>
      <c r="B363" s="44"/>
      <c r="C363" s="45"/>
      <c r="D363" s="45"/>
      <c r="E363" s="44"/>
      <c r="F363" s="44"/>
      <c r="G363" s="44"/>
      <c r="H363" s="44"/>
      <c r="I363" s="44"/>
      <c r="J363" s="44"/>
      <c r="K363" s="44"/>
      <c r="L363" s="44"/>
      <c r="M363" s="44"/>
      <c r="N363" s="44"/>
      <c r="O363" s="46"/>
      <c r="P363" s="44"/>
      <c r="Q363" s="46"/>
      <c r="R363" s="44"/>
      <c r="S363" s="45"/>
      <c r="T363" s="44"/>
      <c r="U363" s="44"/>
      <c r="V363" s="47"/>
      <c r="W363" s="48" t="str">
        <f aca="false">IF(V363="","",IFERROR(V363/O363,""))</f>
        <v/>
      </c>
      <c r="X363" s="44"/>
      <c r="Y363" s="46"/>
      <c r="Z363" s="49"/>
      <c r="AA363" s="44"/>
      <c r="AB363" s="50" t="str">
        <f aca="false">IFERROR(INDEX(TABLA_IVA!$C$3:$C$6,MATCH(AA363,TABLA_IVA!$A$3:$A$6,0)),"")</f>
        <v/>
      </c>
      <c r="AC363" s="47"/>
      <c r="AD363" s="44"/>
      <c r="AE363" s="51"/>
      <c r="AF363" s="52" t="str">
        <f aca="false">IF(OR(AC363="",AE363="",AB363=""),"",IFERROR(AC363/(1-AE363)*(1+AB363),""))</f>
        <v/>
      </c>
      <c r="AG363" s="47"/>
      <c r="AH363" s="52" t="str">
        <f aca="false">IF(AD363="FIJO",IF(AG363="","",AG363),IF(AF363&lt;&gt;"",AF363,IF(AG363="","",AG363)))</f>
        <v/>
      </c>
      <c r="AI363" s="52" t="str">
        <f aca="false">IF(OR(AH363="",AB363=""),"",IFERROR(AH363/(1+AB363),""))</f>
        <v/>
      </c>
      <c r="AJ363" s="50" t="str">
        <f aca="false">IF(OR(AI363="",AC363=""),"",IFERROR((AI363-AC363)/AI363,""))</f>
        <v/>
      </c>
      <c r="AK363" s="53" t="str">
        <f aca="false">IF(OR(AJ363="",AE363=""),"",AJ363-AE363)</f>
        <v/>
      </c>
      <c r="AL363" s="54" t="str">
        <f aca="false">IF(OR(AH363="",AF363=""),"",AH363-AF363)</f>
        <v/>
      </c>
      <c r="AM363" s="55" t="str">
        <f aca="false">IF(OR(A363="",K363&lt;&gt;"SI"),"",IF(AE363="","Sin objetivo",IF(AJ363="","Faltan datos",IF(AJ363&lt;0,"PÉRDIDA",IF(AK363&lt;-UMB_CRITICO,"MUY POR DEBAJO",IF(AK363&lt;-UMB_BAJO,"POR DEBAJO",IF(AK363&lt;-UMB_AJUSTADO,"AJUSTADO",IF(AK363&lt;=UMB_ALTO,"EN OBJETIVO","POR ENCIMA"))))))))</f>
        <v/>
      </c>
      <c r="AN363" s="44"/>
      <c r="AO363" s="44"/>
      <c r="AP363" s="46"/>
      <c r="AQ363" s="46"/>
      <c r="AR363" s="46"/>
      <c r="AS363" s="44"/>
      <c r="AT363" s="44"/>
      <c r="AU363" s="44"/>
      <c r="AV363" s="44"/>
      <c r="AW363" s="44"/>
      <c r="AX363" s="45"/>
      <c r="AY363" s="44"/>
      <c r="AZ363" s="56"/>
      <c r="BA363" s="45"/>
    </row>
    <row r="364" customFormat="false" ht="15" hidden="false" customHeight="false" outlineLevel="0" collapsed="false">
      <c r="A364" s="44"/>
      <c r="B364" s="44"/>
      <c r="C364" s="45"/>
      <c r="D364" s="45"/>
      <c r="E364" s="44"/>
      <c r="F364" s="44"/>
      <c r="G364" s="44"/>
      <c r="H364" s="44"/>
      <c r="I364" s="44"/>
      <c r="J364" s="44"/>
      <c r="K364" s="44"/>
      <c r="L364" s="44"/>
      <c r="M364" s="44"/>
      <c r="N364" s="44"/>
      <c r="O364" s="46"/>
      <c r="P364" s="44"/>
      <c r="Q364" s="46"/>
      <c r="R364" s="44"/>
      <c r="S364" s="45"/>
      <c r="T364" s="44"/>
      <c r="U364" s="44"/>
      <c r="V364" s="47"/>
      <c r="W364" s="48" t="str">
        <f aca="false">IF(V364="","",IFERROR(V364/O364,""))</f>
        <v/>
      </c>
      <c r="X364" s="44"/>
      <c r="Y364" s="46"/>
      <c r="Z364" s="49"/>
      <c r="AA364" s="44"/>
      <c r="AB364" s="50" t="str">
        <f aca="false">IFERROR(INDEX(TABLA_IVA!$C$3:$C$6,MATCH(AA364,TABLA_IVA!$A$3:$A$6,0)),"")</f>
        <v/>
      </c>
      <c r="AC364" s="47"/>
      <c r="AD364" s="44"/>
      <c r="AE364" s="51"/>
      <c r="AF364" s="52" t="str">
        <f aca="false">IF(OR(AC364="",AE364="",AB364=""),"",IFERROR(AC364/(1-AE364)*(1+AB364),""))</f>
        <v/>
      </c>
      <c r="AG364" s="47"/>
      <c r="AH364" s="52" t="str">
        <f aca="false">IF(AD364="FIJO",IF(AG364="","",AG364),IF(AF364&lt;&gt;"",AF364,IF(AG364="","",AG364)))</f>
        <v/>
      </c>
      <c r="AI364" s="52" t="str">
        <f aca="false">IF(OR(AH364="",AB364=""),"",IFERROR(AH364/(1+AB364),""))</f>
        <v/>
      </c>
      <c r="AJ364" s="50" t="str">
        <f aca="false">IF(OR(AI364="",AC364=""),"",IFERROR((AI364-AC364)/AI364,""))</f>
        <v/>
      </c>
      <c r="AK364" s="53" t="str">
        <f aca="false">IF(OR(AJ364="",AE364=""),"",AJ364-AE364)</f>
        <v/>
      </c>
      <c r="AL364" s="54" t="str">
        <f aca="false">IF(OR(AH364="",AF364=""),"",AH364-AF364)</f>
        <v/>
      </c>
      <c r="AM364" s="55" t="str">
        <f aca="false">IF(OR(A364="",K364&lt;&gt;"SI"),"",IF(AE364="","Sin objetivo",IF(AJ364="","Faltan datos",IF(AJ364&lt;0,"PÉRDIDA",IF(AK364&lt;-UMB_CRITICO,"MUY POR DEBAJO",IF(AK364&lt;-UMB_BAJO,"POR DEBAJO",IF(AK364&lt;-UMB_AJUSTADO,"AJUSTADO",IF(AK364&lt;=UMB_ALTO,"EN OBJETIVO","POR ENCIMA"))))))))</f>
        <v/>
      </c>
      <c r="AN364" s="44"/>
      <c r="AO364" s="44"/>
      <c r="AP364" s="46"/>
      <c r="AQ364" s="46"/>
      <c r="AR364" s="46"/>
      <c r="AS364" s="44"/>
      <c r="AT364" s="44"/>
      <c r="AU364" s="44"/>
      <c r="AV364" s="44"/>
      <c r="AW364" s="44"/>
      <c r="AX364" s="45"/>
      <c r="AY364" s="44"/>
      <c r="AZ364" s="56"/>
      <c r="BA364" s="45"/>
    </row>
    <row r="365" customFormat="false" ht="15" hidden="false" customHeight="false" outlineLevel="0" collapsed="false">
      <c r="A365" s="44"/>
      <c r="B365" s="44"/>
      <c r="C365" s="45"/>
      <c r="D365" s="45"/>
      <c r="E365" s="44"/>
      <c r="F365" s="44"/>
      <c r="G365" s="44"/>
      <c r="H365" s="44"/>
      <c r="I365" s="44"/>
      <c r="J365" s="44"/>
      <c r="K365" s="44"/>
      <c r="L365" s="44"/>
      <c r="M365" s="44"/>
      <c r="N365" s="44"/>
      <c r="O365" s="46"/>
      <c r="P365" s="44"/>
      <c r="Q365" s="46"/>
      <c r="R365" s="44"/>
      <c r="S365" s="45"/>
      <c r="T365" s="44"/>
      <c r="U365" s="44"/>
      <c r="V365" s="47"/>
      <c r="W365" s="48" t="str">
        <f aca="false">IF(V365="","",IFERROR(V365/O365,""))</f>
        <v/>
      </c>
      <c r="X365" s="44"/>
      <c r="Y365" s="46"/>
      <c r="Z365" s="49"/>
      <c r="AA365" s="44"/>
      <c r="AB365" s="50" t="str">
        <f aca="false">IFERROR(INDEX(TABLA_IVA!$C$3:$C$6,MATCH(AA365,TABLA_IVA!$A$3:$A$6,0)),"")</f>
        <v/>
      </c>
      <c r="AC365" s="47"/>
      <c r="AD365" s="44"/>
      <c r="AE365" s="51"/>
      <c r="AF365" s="52" t="str">
        <f aca="false">IF(OR(AC365="",AE365="",AB365=""),"",IFERROR(AC365/(1-AE365)*(1+AB365),""))</f>
        <v/>
      </c>
      <c r="AG365" s="47"/>
      <c r="AH365" s="52" t="str">
        <f aca="false">IF(AD365="FIJO",IF(AG365="","",AG365),IF(AF365&lt;&gt;"",AF365,IF(AG365="","",AG365)))</f>
        <v/>
      </c>
      <c r="AI365" s="52" t="str">
        <f aca="false">IF(OR(AH365="",AB365=""),"",IFERROR(AH365/(1+AB365),""))</f>
        <v/>
      </c>
      <c r="AJ365" s="50" t="str">
        <f aca="false">IF(OR(AI365="",AC365=""),"",IFERROR((AI365-AC365)/AI365,""))</f>
        <v/>
      </c>
      <c r="AK365" s="53" t="str">
        <f aca="false">IF(OR(AJ365="",AE365=""),"",AJ365-AE365)</f>
        <v/>
      </c>
      <c r="AL365" s="54" t="str">
        <f aca="false">IF(OR(AH365="",AF365=""),"",AH365-AF365)</f>
        <v/>
      </c>
      <c r="AM365" s="55" t="str">
        <f aca="false">IF(OR(A365="",K365&lt;&gt;"SI"),"",IF(AE365="","Sin objetivo",IF(AJ365="","Faltan datos",IF(AJ365&lt;0,"PÉRDIDA",IF(AK365&lt;-UMB_CRITICO,"MUY POR DEBAJO",IF(AK365&lt;-UMB_BAJO,"POR DEBAJO",IF(AK365&lt;-UMB_AJUSTADO,"AJUSTADO",IF(AK365&lt;=UMB_ALTO,"EN OBJETIVO","POR ENCIMA"))))))))</f>
        <v/>
      </c>
      <c r="AN365" s="44"/>
      <c r="AO365" s="44"/>
      <c r="AP365" s="46"/>
      <c r="AQ365" s="46"/>
      <c r="AR365" s="46"/>
      <c r="AS365" s="44"/>
      <c r="AT365" s="44"/>
      <c r="AU365" s="44"/>
      <c r="AV365" s="44"/>
      <c r="AW365" s="44"/>
      <c r="AX365" s="45"/>
      <c r="AY365" s="44"/>
      <c r="AZ365" s="56"/>
      <c r="BA365" s="45"/>
    </row>
    <row r="366" customFormat="false" ht="15" hidden="false" customHeight="false" outlineLevel="0" collapsed="false">
      <c r="A366" s="44"/>
      <c r="B366" s="44"/>
      <c r="C366" s="45"/>
      <c r="D366" s="45"/>
      <c r="E366" s="44"/>
      <c r="F366" s="44"/>
      <c r="G366" s="44"/>
      <c r="H366" s="44"/>
      <c r="I366" s="44"/>
      <c r="J366" s="44"/>
      <c r="K366" s="44"/>
      <c r="L366" s="44"/>
      <c r="M366" s="44"/>
      <c r="N366" s="44"/>
      <c r="O366" s="46"/>
      <c r="P366" s="44"/>
      <c r="Q366" s="46"/>
      <c r="R366" s="44"/>
      <c r="S366" s="45"/>
      <c r="T366" s="44"/>
      <c r="U366" s="44"/>
      <c r="V366" s="47"/>
      <c r="W366" s="48" t="str">
        <f aca="false">IF(V366="","",IFERROR(V366/O366,""))</f>
        <v/>
      </c>
      <c r="X366" s="44"/>
      <c r="Y366" s="46"/>
      <c r="Z366" s="49"/>
      <c r="AA366" s="44"/>
      <c r="AB366" s="50" t="str">
        <f aca="false">IFERROR(INDEX(TABLA_IVA!$C$3:$C$6,MATCH(AA366,TABLA_IVA!$A$3:$A$6,0)),"")</f>
        <v/>
      </c>
      <c r="AC366" s="47"/>
      <c r="AD366" s="44"/>
      <c r="AE366" s="51"/>
      <c r="AF366" s="52" t="str">
        <f aca="false">IF(OR(AC366="",AE366="",AB366=""),"",IFERROR(AC366/(1-AE366)*(1+AB366),""))</f>
        <v/>
      </c>
      <c r="AG366" s="47"/>
      <c r="AH366" s="52" t="str">
        <f aca="false">IF(AD366="FIJO",IF(AG366="","",AG366),IF(AF366&lt;&gt;"",AF366,IF(AG366="","",AG366)))</f>
        <v/>
      </c>
      <c r="AI366" s="52" t="str">
        <f aca="false">IF(OR(AH366="",AB366=""),"",IFERROR(AH366/(1+AB366),""))</f>
        <v/>
      </c>
      <c r="AJ366" s="50" t="str">
        <f aca="false">IF(OR(AI366="",AC366=""),"",IFERROR((AI366-AC366)/AI366,""))</f>
        <v/>
      </c>
      <c r="AK366" s="53" t="str">
        <f aca="false">IF(OR(AJ366="",AE366=""),"",AJ366-AE366)</f>
        <v/>
      </c>
      <c r="AL366" s="54" t="str">
        <f aca="false">IF(OR(AH366="",AF366=""),"",AH366-AF366)</f>
        <v/>
      </c>
      <c r="AM366" s="55" t="str">
        <f aca="false">IF(OR(A366="",K366&lt;&gt;"SI"),"",IF(AE366="","Sin objetivo",IF(AJ366="","Faltan datos",IF(AJ366&lt;0,"PÉRDIDA",IF(AK366&lt;-UMB_CRITICO,"MUY POR DEBAJO",IF(AK366&lt;-UMB_BAJO,"POR DEBAJO",IF(AK366&lt;-UMB_AJUSTADO,"AJUSTADO",IF(AK366&lt;=UMB_ALTO,"EN OBJETIVO","POR ENCIMA"))))))))</f>
        <v/>
      </c>
      <c r="AN366" s="44"/>
      <c r="AO366" s="44"/>
      <c r="AP366" s="46"/>
      <c r="AQ366" s="46"/>
      <c r="AR366" s="46"/>
      <c r="AS366" s="44"/>
      <c r="AT366" s="44"/>
      <c r="AU366" s="44"/>
      <c r="AV366" s="44"/>
      <c r="AW366" s="44"/>
      <c r="AX366" s="45"/>
      <c r="AY366" s="44"/>
      <c r="AZ366" s="56"/>
      <c r="BA366" s="45"/>
    </row>
    <row r="367" customFormat="false" ht="15" hidden="false" customHeight="false" outlineLevel="0" collapsed="false">
      <c r="A367" s="44"/>
      <c r="B367" s="44"/>
      <c r="C367" s="45"/>
      <c r="D367" s="45"/>
      <c r="E367" s="44"/>
      <c r="F367" s="44"/>
      <c r="G367" s="44"/>
      <c r="H367" s="44"/>
      <c r="I367" s="44"/>
      <c r="J367" s="44"/>
      <c r="K367" s="44"/>
      <c r="L367" s="44"/>
      <c r="M367" s="44"/>
      <c r="N367" s="44"/>
      <c r="O367" s="46"/>
      <c r="P367" s="44"/>
      <c r="Q367" s="46"/>
      <c r="R367" s="44"/>
      <c r="S367" s="45"/>
      <c r="T367" s="44"/>
      <c r="U367" s="44"/>
      <c r="V367" s="47"/>
      <c r="W367" s="48" t="str">
        <f aca="false">IF(V367="","",IFERROR(V367/O367,""))</f>
        <v/>
      </c>
      <c r="X367" s="44"/>
      <c r="Y367" s="46"/>
      <c r="Z367" s="49"/>
      <c r="AA367" s="44"/>
      <c r="AB367" s="50" t="str">
        <f aca="false">IFERROR(INDEX(TABLA_IVA!$C$3:$C$6,MATCH(AA367,TABLA_IVA!$A$3:$A$6,0)),"")</f>
        <v/>
      </c>
      <c r="AC367" s="47"/>
      <c r="AD367" s="44"/>
      <c r="AE367" s="51"/>
      <c r="AF367" s="52" t="str">
        <f aca="false">IF(OR(AC367="",AE367="",AB367=""),"",IFERROR(AC367/(1-AE367)*(1+AB367),""))</f>
        <v/>
      </c>
      <c r="AG367" s="47"/>
      <c r="AH367" s="52" t="str">
        <f aca="false">IF(AD367="FIJO",IF(AG367="","",AG367),IF(AF367&lt;&gt;"",AF367,IF(AG367="","",AG367)))</f>
        <v/>
      </c>
      <c r="AI367" s="52" t="str">
        <f aca="false">IF(OR(AH367="",AB367=""),"",IFERROR(AH367/(1+AB367),""))</f>
        <v/>
      </c>
      <c r="AJ367" s="50" t="str">
        <f aca="false">IF(OR(AI367="",AC367=""),"",IFERROR((AI367-AC367)/AI367,""))</f>
        <v/>
      </c>
      <c r="AK367" s="53" t="str">
        <f aca="false">IF(OR(AJ367="",AE367=""),"",AJ367-AE367)</f>
        <v/>
      </c>
      <c r="AL367" s="54" t="str">
        <f aca="false">IF(OR(AH367="",AF367=""),"",AH367-AF367)</f>
        <v/>
      </c>
      <c r="AM367" s="55" t="str">
        <f aca="false">IF(OR(A367="",K367&lt;&gt;"SI"),"",IF(AE367="","Sin objetivo",IF(AJ367="","Faltan datos",IF(AJ367&lt;0,"PÉRDIDA",IF(AK367&lt;-UMB_CRITICO,"MUY POR DEBAJO",IF(AK367&lt;-UMB_BAJO,"POR DEBAJO",IF(AK367&lt;-UMB_AJUSTADO,"AJUSTADO",IF(AK367&lt;=UMB_ALTO,"EN OBJETIVO","POR ENCIMA"))))))))</f>
        <v/>
      </c>
      <c r="AN367" s="44"/>
      <c r="AO367" s="44"/>
      <c r="AP367" s="46"/>
      <c r="AQ367" s="46"/>
      <c r="AR367" s="46"/>
      <c r="AS367" s="44"/>
      <c r="AT367" s="44"/>
      <c r="AU367" s="44"/>
      <c r="AV367" s="44"/>
      <c r="AW367" s="44"/>
      <c r="AX367" s="45"/>
      <c r="AY367" s="44"/>
      <c r="AZ367" s="56"/>
      <c r="BA367" s="45"/>
    </row>
    <row r="368" customFormat="false" ht="15" hidden="false" customHeight="false" outlineLevel="0" collapsed="false">
      <c r="A368" s="44"/>
      <c r="B368" s="44"/>
      <c r="C368" s="45"/>
      <c r="D368" s="45"/>
      <c r="E368" s="44"/>
      <c r="F368" s="44"/>
      <c r="G368" s="44"/>
      <c r="H368" s="44"/>
      <c r="I368" s="44"/>
      <c r="J368" s="44"/>
      <c r="K368" s="44"/>
      <c r="L368" s="44"/>
      <c r="M368" s="44"/>
      <c r="N368" s="44"/>
      <c r="O368" s="46"/>
      <c r="P368" s="44"/>
      <c r="Q368" s="46"/>
      <c r="R368" s="44"/>
      <c r="S368" s="45"/>
      <c r="T368" s="44"/>
      <c r="U368" s="44"/>
      <c r="V368" s="47"/>
      <c r="W368" s="48" t="str">
        <f aca="false">IF(V368="","",IFERROR(V368/O368,""))</f>
        <v/>
      </c>
      <c r="X368" s="44"/>
      <c r="Y368" s="46"/>
      <c r="Z368" s="49"/>
      <c r="AA368" s="44"/>
      <c r="AB368" s="50" t="str">
        <f aca="false">IFERROR(INDEX(TABLA_IVA!$C$3:$C$6,MATCH(AA368,TABLA_IVA!$A$3:$A$6,0)),"")</f>
        <v/>
      </c>
      <c r="AC368" s="47"/>
      <c r="AD368" s="44"/>
      <c r="AE368" s="51"/>
      <c r="AF368" s="52" t="str">
        <f aca="false">IF(OR(AC368="",AE368="",AB368=""),"",IFERROR(AC368/(1-AE368)*(1+AB368),""))</f>
        <v/>
      </c>
      <c r="AG368" s="47"/>
      <c r="AH368" s="52" t="str">
        <f aca="false">IF(AD368="FIJO",IF(AG368="","",AG368),IF(AF368&lt;&gt;"",AF368,IF(AG368="","",AG368)))</f>
        <v/>
      </c>
      <c r="AI368" s="52" t="str">
        <f aca="false">IF(OR(AH368="",AB368=""),"",IFERROR(AH368/(1+AB368),""))</f>
        <v/>
      </c>
      <c r="AJ368" s="50" t="str">
        <f aca="false">IF(OR(AI368="",AC368=""),"",IFERROR((AI368-AC368)/AI368,""))</f>
        <v/>
      </c>
      <c r="AK368" s="53" t="str">
        <f aca="false">IF(OR(AJ368="",AE368=""),"",AJ368-AE368)</f>
        <v/>
      </c>
      <c r="AL368" s="54" t="str">
        <f aca="false">IF(OR(AH368="",AF368=""),"",AH368-AF368)</f>
        <v/>
      </c>
      <c r="AM368" s="55" t="str">
        <f aca="false">IF(OR(A368="",K368&lt;&gt;"SI"),"",IF(AE368="","Sin objetivo",IF(AJ368="","Faltan datos",IF(AJ368&lt;0,"PÉRDIDA",IF(AK368&lt;-UMB_CRITICO,"MUY POR DEBAJO",IF(AK368&lt;-UMB_BAJO,"POR DEBAJO",IF(AK368&lt;-UMB_AJUSTADO,"AJUSTADO",IF(AK368&lt;=UMB_ALTO,"EN OBJETIVO","POR ENCIMA"))))))))</f>
        <v/>
      </c>
      <c r="AN368" s="44"/>
      <c r="AO368" s="44"/>
      <c r="AP368" s="46"/>
      <c r="AQ368" s="46"/>
      <c r="AR368" s="46"/>
      <c r="AS368" s="44"/>
      <c r="AT368" s="44"/>
      <c r="AU368" s="44"/>
      <c r="AV368" s="44"/>
      <c r="AW368" s="44"/>
      <c r="AX368" s="45"/>
      <c r="AY368" s="44"/>
      <c r="AZ368" s="56"/>
      <c r="BA368" s="45"/>
    </row>
    <row r="369" customFormat="false" ht="15" hidden="false" customHeight="false" outlineLevel="0" collapsed="false">
      <c r="A369" s="44"/>
      <c r="B369" s="44"/>
      <c r="C369" s="45"/>
      <c r="D369" s="45"/>
      <c r="E369" s="44"/>
      <c r="F369" s="44"/>
      <c r="G369" s="44"/>
      <c r="H369" s="44"/>
      <c r="I369" s="44"/>
      <c r="J369" s="44"/>
      <c r="K369" s="44"/>
      <c r="L369" s="44"/>
      <c r="M369" s="44"/>
      <c r="N369" s="44"/>
      <c r="O369" s="46"/>
      <c r="P369" s="44"/>
      <c r="Q369" s="46"/>
      <c r="R369" s="44"/>
      <c r="S369" s="45"/>
      <c r="T369" s="44"/>
      <c r="U369" s="44"/>
      <c r="V369" s="47"/>
      <c r="W369" s="48" t="str">
        <f aca="false">IF(V369="","",IFERROR(V369/O369,""))</f>
        <v/>
      </c>
      <c r="X369" s="44"/>
      <c r="Y369" s="46"/>
      <c r="Z369" s="49"/>
      <c r="AA369" s="44"/>
      <c r="AB369" s="50" t="str">
        <f aca="false">IFERROR(INDEX(TABLA_IVA!$C$3:$C$6,MATCH(AA369,TABLA_IVA!$A$3:$A$6,0)),"")</f>
        <v/>
      </c>
      <c r="AC369" s="47"/>
      <c r="AD369" s="44"/>
      <c r="AE369" s="51"/>
      <c r="AF369" s="52" t="str">
        <f aca="false">IF(OR(AC369="",AE369="",AB369=""),"",IFERROR(AC369/(1-AE369)*(1+AB369),""))</f>
        <v/>
      </c>
      <c r="AG369" s="47"/>
      <c r="AH369" s="52" t="str">
        <f aca="false">IF(AD369="FIJO",IF(AG369="","",AG369),IF(AF369&lt;&gt;"",AF369,IF(AG369="","",AG369)))</f>
        <v/>
      </c>
      <c r="AI369" s="52" t="str">
        <f aca="false">IF(OR(AH369="",AB369=""),"",IFERROR(AH369/(1+AB369),""))</f>
        <v/>
      </c>
      <c r="AJ369" s="50" t="str">
        <f aca="false">IF(OR(AI369="",AC369=""),"",IFERROR((AI369-AC369)/AI369,""))</f>
        <v/>
      </c>
      <c r="AK369" s="53" t="str">
        <f aca="false">IF(OR(AJ369="",AE369=""),"",AJ369-AE369)</f>
        <v/>
      </c>
      <c r="AL369" s="54" t="str">
        <f aca="false">IF(OR(AH369="",AF369=""),"",AH369-AF369)</f>
        <v/>
      </c>
      <c r="AM369" s="55" t="str">
        <f aca="false">IF(OR(A369="",K369&lt;&gt;"SI"),"",IF(AE369="","Sin objetivo",IF(AJ369="","Faltan datos",IF(AJ369&lt;0,"PÉRDIDA",IF(AK369&lt;-UMB_CRITICO,"MUY POR DEBAJO",IF(AK369&lt;-UMB_BAJO,"POR DEBAJO",IF(AK369&lt;-UMB_AJUSTADO,"AJUSTADO",IF(AK369&lt;=UMB_ALTO,"EN OBJETIVO","POR ENCIMA"))))))))</f>
        <v/>
      </c>
      <c r="AN369" s="44"/>
      <c r="AO369" s="44"/>
      <c r="AP369" s="46"/>
      <c r="AQ369" s="46"/>
      <c r="AR369" s="46"/>
      <c r="AS369" s="44"/>
      <c r="AT369" s="44"/>
      <c r="AU369" s="44"/>
      <c r="AV369" s="44"/>
      <c r="AW369" s="44"/>
      <c r="AX369" s="45"/>
      <c r="AY369" s="44"/>
      <c r="AZ369" s="56"/>
      <c r="BA369" s="45"/>
    </row>
    <row r="370" customFormat="false" ht="15" hidden="false" customHeight="false" outlineLevel="0" collapsed="false">
      <c r="A370" s="44"/>
      <c r="B370" s="44"/>
      <c r="C370" s="45"/>
      <c r="D370" s="45"/>
      <c r="E370" s="44"/>
      <c r="F370" s="44"/>
      <c r="G370" s="44"/>
      <c r="H370" s="44"/>
      <c r="I370" s="44"/>
      <c r="J370" s="44"/>
      <c r="K370" s="44"/>
      <c r="L370" s="44"/>
      <c r="M370" s="44"/>
      <c r="N370" s="44"/>
      <c r="O370" s="46"/>
      <c r="P370" s="44"/>
      <c r="Q370" s="46"/>
      <c r="R370" s="44"/>
      <c r="S370" s="45"/>
      <c r="T370" s="44"/>
      <c r="U370" s="44"/>
      <c r="V370" s="47"/>
      <c r="W370" s="48" t="str">
        <f aca="false">IF(V370="","",IFERROR(V370/O370,""))</f>
        <v/>
      </c>
      <c r="X370" s="44"/>
      <c r="Y370" s="46"/>
      <c r="Z370" s="49"/>
      <c r="AA370" s="44"/>
      <c r="AB370" s="50" t="str">
        <f aca="false">IFERROR(INDEX(TABLA_IVA!$C$3:$C$6,MATCH(AA370,TABLA_IVA!$A$3:$A$6,0)),"")</f>
        <v/>
      </c>
      <c r="AC370" s="47"/>
      <c r="AD370" s="44"/>
      <c r="AE370" s="51"/>
      <c r="AF370" s="52" t="str">
        <f aca="false">IF(OR(AC370="",AE370="",AB370=""),"",IFERROR(AC370/(1-AE370)*(1+AB370),""))</f>
        <v/>
      </c>
      <c r="AG370" s="47"/>
      <c r="AH370" s="52" t="str">
        <f aca="false">IF(AD370="FIJO",IF(AG370="","",AG370),IF(AF370&lt;&gt;"",AF370,IF(AG370="","",AG370)))</f>
        <v/>
      </c>
      <c r="AI370" s="52" t="str">
        <f aca="false">IF(OR(AH370="",AB370=""),"",IFERROR(AH370/(1+AB370),""))</f>
        <v/>
      </c>
      <c r="AJ370" s="50" t="str">
        <f aca="false">IF(OR(AI370="",AC370=""),"",IFERROR((AI370-AC370)/AI370,""))</f>
        <v/>
      </c>
      <c r="AK370" s="53" t="str">
        <f aca="false">IF(OR(AJ370="",AE370=""),"",AJ370-AE370)</f>
        <v/>
      </c>
      <c r="AL370" s="54" t="str">
        <f aca="false">IF(OR(AH370="",AF370=""),"",AH370-AF370)</f>
        <v/>
      </c>
      <c r="AM370" s="55" t="str">
        <f aca="false">IF(OR(A370="",K370&lt;&gt;"SI"),"",IF(AE370="","Sin objetivo",IF(AJ370="","Faltan datos",IF(AJ370&lt;0,"PÉRDIDA",IF(AK370&lt;-UMB_CRITICO,"MUY POR DEBAJO",IF(AK370&lt;-UMB_BAJO,"POR DEBAJO",IF(AK370&lt;-UMB_AJUSTADO,"AJUSTADO",IF(AK370&lt;=UMB_ALTO,"EN OBJETIVO","POR ENCIMA"))))))))</f>
        <v/>
      </c>
      <c r="AN370" s="44"/>
      <c r="AO370" s="44"/>
      <c r="AP370" s="46"/>
      <c r="AQ370" s="46"/>
      <c r="AR370" s="46"/>
      <c r="AS370" s="44"/>
      <c r="AT370" s="44"/>
      <c r="AU370" s="44"/>
      <c r="AV370" s="44"/>
      <c r="AW370" s="44"/>
      <c r="AX370" s="45"/>
      <c r="AY370" s="44"/>
      <c r="AZ370" s="56"/>
      <c r="BA370" s="45"/>
    </row>
    <row r="371" customFormat="false" ht="15" hidden="false" customHeight="false" outlineLevel="0" collapsed="false">
      <c r="A371" s="44"/>
      <c r="B371" s="44"/>
      <c r="C371" s="45"/>
      <c r="D371" s="45"/>
      <c r="E371" s="44"/>
      <c r="F371" s="44"/>
      <c r="G371" s="44"/>
      <c r="H371" s="44"/>
      <c r="I371" s="44"/>
      <c r="J371" s="44"/>
      <c r="K371" s="44"/>
      <c r="L371" s="44"/>
      <c r="M371" s="44"/>
      <c r="N371" s="44"/>
      <c r="O371" s="46"/>
      <c r="P371" s="44"/>
      <c r="Q371" s="46"/>
      <c r="R371" s="44"/>
      <c r="S371" s="45"/>
      <c r="T371" s="44"/>
      <c r="U371" s="44"/>
      <c r="V371" s="47"/>
      <c r="W371" s="48" t="str">
        <f aca="false">IF(V371="","",IFERROR(V371/O371,""))</f>
        <v/>
      </c>
      <c r="X371" s="44"/>
      <c r="Y371" s="46"/>
      <c r="Z371" s="49"/>
      <c r="AA371" s="44"/>
      <c r="AB371" s="50" t="str">
        <f aca="false">IFERROR(INDEX(TABLA_IVA!$C$3:$C$6,MATCH(AA371,TABLA_IVA!$A$3:$A$6,0)),"")</f>
        <v/>
      </c>
      <c r="AC371" s="47"/>
      <c r="AD371" s="44"/>
      <c r="AE371" s="51"/>
      <c r="AF371" s="52" t="str">
        <f aca="false">IF(OR(AC371="",AE371="",AB371=""),"",IFERROR(AC371/(1-AE371)*(1+AB371),""))</f>
        <v/>
      </c>
      <c r="AG371" s="47"/>
      <c r="AH371" s="52" t="str">
        <f aca="false">IF(AD371="FIJO",IF(AG371="","",AG371),IF(AF371&lt;&gt;"",AF371,IF(AG371="","",AG371)))</f>
        <v/>
      </c>
      <c r="AI371" s="52" t="str">
        <f aca="false">IF(OR(AH371="",AB371=""),"",IFERROR(AH371/(1+AB371),""))</f>
        <v/>
      </c>
      <c r="AJ371" s="50" t="str">
        <f aca="false">IF(OR(AI371="",AC371=""),"",IFERROR((AI371-AC371)/AI371,""))</f>
        <v/>
      </c>
      <c r="AK371" s="53" t="str">
        <f aca="false">IF(OR(AJ371="",AE371=""),"",AJ371-AE371)</f>
        <v/>
      </c>
      <c r="AL371" s="54" t="str">
        <f aca="false">IF(OR(AH371="",AF371=""),"",AH371-AF371)</f>
        <v/>
      </c>
      <c r="AM371" s="55" t="str">
        <f aca="false">IF(OR(A371="",K371&lt;&gt;"SI"),"",IF(AE371="","Sin objetivo",IF(AJ371="","Faltan datos",IF(AJ371&lt;0,"PÉRDIDA",IF(AK371&lt;-UMB_CRITICO,"MUY POR DEBAJO",IF(AK371&lt;-UMB_BAJO,"POR DEBAJO",IF(AK371&lt;-UMB_AJUSTADO,"AJUSTADO",IF(AK371&lt;=UMB_ALTO,"EN OBJETIVO","POR ENCIMA"))))))))</f>
        <v/>
      </c>
      <c r="AN371" s="44"/>
      <c r="AO371" s="44"/>
      <c r="AP371" s="46"/>
      <c r="AQ371" s="46"/>
      <c r="AR371" s="46"/>
      <c r="AS371" s="44"/>
      <c r="AT371" s="44"/>
      <c r="AU371" s="44"/>
      <c r="AV371" s="44"/>
      <c r="AW371" s="44"/>
      <c r="AX371" s="45"/>
      <c r="AY371" s="44"/>
      <c r="AZ371" s="56"/>
      <c r="BA371" s="45"/>
    </row>
    <row r="372" customFormat="false" ht="15" hidden="false" customHeight="false" outlineLevel="0" collapsed="false">
      <c r="A372" s="44"/>
      <c r="B372" s="44"/>
      <c r="C372" s="45"/>
      <c r="D372" s="45"/>
      <c r="E372" s="44"/>
      <c r="F372" s="44"/>
      <c r="G372" s="44"/>
      <c r="H372" s="44"/>
      <c r="I372" s="44"/>
      <c r="J372" s="44"/>
      <c r="K372" s="44"/>
      <c r="L372" s="44"/>
      <c r="M372" s="44"/>
      <c r="N372" s="44"/>
      <c r="O372" s="46"/>
      <c r="P372" s="44"/>
      <c r="Q372" s="46"/>
      <c r="R372" s="44"/>
      <c r="S372" s="45"/>
      <c r="T372" s="44"/>
      <c r="U372" s="44"/>
      <c r="V372" s="47"/>
      <c r="W372" s="48" t="str">
        <f aca="false">IF(V372="","",IFERROR(V372/O372,""))</f>
        <v/>
      </c>
      <c r="X372" s="44"/>
      <c r="Y372" s="46"/>
      <c r="Z372" s="49"/>
      <c r="AA372" s="44"/>
      <c r="AB372" s="50" t="str">
        <f aca="false">IFERROR(INDEX(TABLA_IVA!$C$3:$C$6,MATCH(AA372,TABLA_IVA!$A$3:$A$6,0)),"")</f>
        <v/>
      </c>
      <c r="AC372" s="47"/>
      <c r="AD372" s="44"/>
      <c r="AE372" s="51"/>
      <c r="AF372" s="52" t="str">
        <f aca="false">IF(OR(AC372="",AE372="",AB372=""),"",IFERROR(AC372/(1-AE372)*(1+AB372),""))</f>
        <v/>
      </c>
      <c r="AG372" s="47"/>
      <c r="AH372" s="52" t="str">
        <f aca="false">IF(AD372="FIJO",IF(AG372="","",AG372),IF(AF372&lt;&gt;"",AF372,IF(AG372="","",AG372)))</f>
        <v/>
      </c>
      <c r="AI372" s="52" t="str">
        <f aca="false">IF(OR(AH372="",AB372=""),"",IFERROR(AH372/(1+AB372),""))</f>
        <v/>
      </c>
      <c r="AJ372" s="50" t="str">
        <f aca="false">IF(OR(AI372="",AC372=""),"",IFERROR((AI372-AC372)/AI372,""))</f>
        <v/>
      </c>
      <c r="AK372" s="53" t="str">
        <f aca="false">IF(OR(AJ372="",AE372=""),"",AJ372-AE372)</f>
        <v/>
      </c>
      <c r="AL372" s="54" t="str">
        <f aca="false">IF(OR(AH372="",AF372=""),"",AH372-AF372)</f>
        <v/>
      </c>
      <c r="AM372" s="55" t="str">
        <f aca="false">IF(OR(A372="",K372&lt;&gt;"SI"),"",IF(AE372="","Sin objetivo",IF(AJ372="","Faltan datos",IF(AJ372&lt;0,"PÉRDIDA",IF(AK372&lt;-UMB_CRITICO,"MUY POR DEBAJO",IF(AK372&lt;-UMB_BAJO,"POR DEBAJO",IF(AK372&lt;-UMB_AJUSTADO,"AJUSTADO",IF(AK372&lt;=UMB_ALTO,"EN OBJETIVO","POR ENCIMA"))))))))</f>
        <v/>
      </c>
      <c r="AN372" s="44"/>
      <c r="AO372" s="44"/>
      <c r="AP372" s="46"/>
      <c r="AQ372" s="46"/>
      <c r="AR372" s="46"/>
      <c r="AS372" s="44"/>
      <c r="AT372" s="44"/>
      <c r="AU372" s="44"/>
      <c r="AV372" s="44"/>
      <c r="AW372" s="44"/>
      <c r="AX372" s="45"/>
      <c r="AY372" s="44"/>
      <c r="AZ372" s="56"/>
      <c r="BA372" s="45"/>
    </row>
    <row r="373" customFormat="false" ht="15" hidden="false" customHeight="false" outlineLevel="0" collapsed="false">
      <c r="A373" s="44"/>
      <c r="B373" s="44"/>
      <c r="C373" s="45"/>
      <c r="D373" s="45"/>
      <c r="E373" s="44"/>
      <c r="F373" s="44"/>
      <c r="G373" s="44"/>
      <c r="H373" s="44"/>
      <c r="I373" s="44"/>
      <c r="J373" s="44"/>
      <c r="K373" s="44"/>
      <c r="L373" s="44"/>
      <c r="M373" s="44"/>
      <c r="N373" s="44"/>
      <c r="O373" s="46"/>
      <c r="P373" s="44"/>
      <c r="Q373" s="46"/>
      <c r="R373" s="44"/>
      <c r="S373" s="45"/>
      <c r="T373" s="44"/>
      <c r="U373" s="44"/>
      <c r="V373" s="47"/>
      <c r="W373" s="48" t="str">
        <f aca="false">IF(V373="","",IFERROR(V373/O373,""))</f>
        <v/>
      </c>
      <c r="X373" s="44"/>
      <c r="Y373" s="46"/>
      <c r="Z373" s="49"/>
      <c r="AA373" s="44"/>
      <c r="AB373" s="50" t="str">
        <f aca="false">IFERROR(INDEX(TABLA_IVA!$C$3:$C$6,MATCH(AA373,TABLA_IVA!$A$3:$A$6,0)),"")</f>
        <v/>
      </c>
      <c r="AC373" s="47"/>
      <c r="AD373" s="44"/>
      <c r="AE373" s="51"/>
      <c r="AF373" s="52" t="str">
        <f aca="false">IF(OR(AC373="",AE373="",AB373=""),"",IFERROR(AC373/(1-AE373)*(1+AB373),""))</f>
        <v/>
      </c>
      <c r="AG373" s="47"/>
      <c r="AH373" s="52" t="str">
        <f aca="false">IF(AD373="FIJO",IF(AG373="","",AG373),IF(AF373&lt;&gt;"",AF373,IF(AG373="","",AG373)))</f>
        <v/>
      </c>
      <c r="AI373" s="52" t="str">
        <f aca="false">IF(OR(AH373="",AB373=""),"",IFERROR(AH373/(1+AB373),""))</f>
        <v/>
      </c>
      <c r="AJ373" s="50" t="str">
        <f aca="false">IF(OR(AI373="",AC373=""),"",IFERROR((AI373-AC373)/AI373,""))</f>
        <v/>
      </c>
      <c r="AK373" s="53" t="str">
        <f aca="false">IF(OR(AJ373="",AE373=""),"",AJ373-AE373)</f>
        <v/>
      </c>
      <c r="AL373" s="54" t="str">
        <f aca="false">IF(OR(AH373="",AF373=""),"",AH373-AF373)</f>
        <v/>
      </c>
      <c r="AM373" s="55" t="str">
        <f aca="false">IF(OR(A373="",K373&lt;&gt;"SI"),"",IF(AE373="","Sin objetivo",IF(AJ373="","Faltan datos",IF(AJ373&lt;0,"PÉRDIDA",IF(AK373&lt;-UMB_CRITICO,"MUY POR DEBAJO",IF(AK373&lt;-UMB_BAJO,"POR DEBAJO",IF(AK373&lt;-UMB_AJUSTADO,"AJUSTADO",IF(AK373&lt;=UMB_ALTO,"EN OBJETIVO","POR ENCIMA"))))))))</f>
        <v/>
      </c>
      <c r="AN373" s="44"/>
      <c r="AO373" s="44"/>
      <c r="AP373" s="46"/>
      <c r="AQ373" s="46"/>
      <c r="AR373" s="46"/>
      <c r="AS373" s="44"/>
      <c r="AT373" s="44"/>
      <c r="AU373" s="44"/>
      <c r="AV373" s="44"/>
      <c r="AW373" s="44"/>
      <c r="AX373" s="45"/>
      <c r="AY373" s="44"/>
      <c r="AZ373" s="56"/>
      <c r="BA373" s="45"/>
    </row>
    <row r="374" customFormat="false" ht="15" hidden="false" customHeight="false" outlineLevel="0" collapsed="false">
      <c r="A374" s="44"/>
      <c r="B374" s="44"/>
      <c r="C374" s="45"/>
      <c r="D374" s="45"/>
      <c r="E374" s="44"/>
      <c r="F374" s="44"/>
      <c r="G374" s="44"/>
      <c r="H374" s="44"/>
      <c r="I374" s="44"/>
      <c r="J374" s="44"/>
      <c r="K374" s="44"/>
      <c r="L374" s="44"/>
      <c r="M374" s="44"/>
      <c r="N374" s="44"/>
      <c r="O374" s="46"/>
      <c r="P374" s="44"/>
      <c r="Q374" s="46"/>
      <c r="R374" s="44"/>
      <c r="S374" s="45"/>
      <c r="T374" s="44"/>
      <c r="U374" s="44"/>
      <c r="V374" s="47"/>
      <c r="W374" s="48" t="str">
        <f aca="false">IF(V374="","",IFERROR(V374/O374,""))</f>
        <v/>
      </c>
      <c r="X374" s="44"/>
      <c r="Y374" s="46"/>
      <c r="Z374" s="49"/>
      <c r="AA374" s="44"/>
      <c r="AB374" s="50" t="str">
        <f aca="false">IFERROR(INDEX(TABLA_IVA!$C$3:$C$6,MATCH(AA374,TABLA_IVA!$A$3:$A$6,0)),"")</f>
        <v/>
      </c>
      <c r="AC374" s="47"/>
      <c r="AD374" s="44"/>
      <c r="AE374" s="51"/>
      <c r="AF374" s="52" t="str">
        <f aca="false">IF(OR(AC374="",AE374="",AB374=""),"",IFERROR(AC374/(1-AE374)*(1+AB374),""))</f>
        <v/>
      </c>
      <c r="AG374" s="47"/>
      <c r="AH374" s="52" t="str">
        <f aca="false">IF(AD374="FIJO",IF(AG374="","",AG374),IF(AF374&lt;&gt;"",AF374,IF(AG374="","",AG374)))</f>
        <v/>
      </c>
      <c r="AI374" s="52" t="str">
        <f aca="false">IF(OR(AH374="",AB374=""),"",IFERROR(AH374/(1+AB374),""))</f>
        <v/>
      </c>
      <c r="AJ374" s="50" t="str">
        <f aca="false">IF(OR(AI374="",AC374=""),"",IFERROR((AI374-AC374)/AI374,""))</f>
        <v/>
      </c>
      <c r="AK374" s="53" t="str">
        <f aca="false">IF(OR(AJ374="",AE374=""),"",AJ374-AE374)</f>
        <v/>
      </c>
      <c r="AL374" s="54" t="str">
        <f aca="false">IF(OR(AH374="",AF374=""),"",AH374-AF374)</f>
        <v/>
      </c>
      <c r="AM374" s="55" t="str">
        <f aca="false">IF(OR(A374="",K374&lt;&gt;"SI"),"",IF(AE374="","Sin objetivo",IF(AJ374="","Faltan datos",IF(AJ374&lt;0,"PÉRDIDA",IF(AK374&lt;-UMB_CRITICO,"MUY POR DEBAJO",IF(AK374&lt;-UMB_BAJO,"POR DEBAJO",IF(AK374&lt;-UMB_AJUSTADO,"AJUSTADO",IF(AK374&lt;=UMB_ALTO,"EN OBJETIVO","POR ENCIMA"))))))))</f>
        <v/>
      </c>
      <c r="AN374" s="44"/>
      <c r="AO374" s="44"/>
      <c r="AP374" s="46"/>
      <c r="AQ374" s="46"/>
      <c r="AR374" s="46"/>
      <c r="AS374" s="44"/>
      <c r="AT374" s="44"/>
      <c r="AU374" s="44"/>
      <c r="AV374" s="44"/>
      <c r="AW374" s="44"/>
      <c r="AX374" s="45"/>
      <c r="AY374" s="44"/>
      <c r="AZ374" s="56"/>
      <c r="BA374" s="45"/>
    </row>
    <row r="375" customFormat="false" ht="15" hidden="false" customHeight="false" outlineLevel="0" collapsed="false">
      <c r="A375" s="44"/>
      <c r="B375" s="44"/>
      <c r="C375" s="45"/>
      <c r="D375" s="45"/>
      <c r="E375" s="44"/>
      <c r="F375" s="44"/>
      <c r="G375" s="44"/>
      <c r="H375" s="44"/>
      <c r="I375" s="44"/>
      <c r="J375" s="44"/>
      <c r="K375" s="44"/>
      <c r="L375" s="44"/>
      <c r="M375" s="44"/>
      <c r="N375" s="44"/>
      <c r="O375" s="46"/>
      <c r="P375" s="44"/>
      <c r="Q375" s="46"/>
      <c r="R375" s="44"/>
      <c r="S375" s="45"/>
      <c r="T375" s="44"/>
      <c r="U375" s="44"/>
      <c r="V375" s="47"/>
      <c r="W375" s="48" t="str">
        <f aca="false">IF(V375="","",IFERROR(V375/O375,""))</f>
        <v/>
      </c>
      <c r="X375" s="44"/>
      <c r="Y375" s="46"/>
      <c r="Z375" s="49"/>
      <c r="AA375" s="44"/>
      <c r="AB375" s="50" t="str">
        <f aca="false">IFERROR(INDEX(TABLA_IVA!$C$3:$C$6,MATCH(AA375,TABLA_IVA!$A$3:$A$6,0)),"")</f>
        <v/>
      </c>
      <c r="AC375" s="47"/>
      <c r="AD375" s="44"/>
      <c r="AE375" s="51"/>
      <c r="AF375" s="52" t="str">
        <f aca="false">IF(OR(AC375="",AE375="",AB375=""),"",IFERROR(AC375/(1-AE375)*(1+AB375),""))</f>
        <v/>
      </c>
      <c r="AG375" s="47"/>
      <c r="AH375" s="52" t="str">
        <f aca="false">IF(AD375="FIJO",IF(AG375="","",AG375),IF(AF375&lt;&gt;"",AF375,IF(AG375="","",AG375)))</f>
        <v/>
      </c>
      <c r="AI375" s="52" t="str">
        <f aca="false">IF(OR(AH375="",AB375=""),"",IFERROR(AH375/(1+AB375),""))</f>
        <v/>
      </c>
      <c r="AJ375" s="50" t="str">
        <f aca="false">IF(OR(AI375="",AC375=""),"",IFERROR((AI375-AC375)/AI375,""))</f>
        <v/>
      </c>
      <c r="AK375" s="53" t="str">
        <f aca="false">IF(OR(AJ375="",AE375=""),"",AJ375-AE375)</f>
        <v/>
      </c>
      <c r="AL375" s="54" t="str">
        <f aca="false">IF(OR(AH375="",AF375=""),"",AH375-AF375)</f>
        <v/>
      </c>
      <c r="AM375" s="55" t="str">
        <f aca="false">IF(OR(A375="",K375&lt;&gt;"SI"),"",IF(AE375="","Sin objetivo",IF(AJ375="","Faltan datos",IF(AJ375&lt;0,"PÉRDIDA",IF(AK375&lt;-UMB_CRITICO,"MUY POR DEBAJO",IF(AK375&lt;-UMB_BAJO,"POR DEBAJO",IF(AK375&lt;-UMB_AJUSTADO,"AJUSTADO",IF(AK375&lt;=UMB_ALTO,"EN OBJETIVO","POR ENCIMA"))))))))</f>
        <v/>
      </c>
      <c r="AN375" s="44"/>
      <c r="AO375" s="44"/>
      <c r="AP375" s="46"/>
      <c r="AQ375" s="46"/>
      <c r="AR375" s="46"/>
      <c r="AS375" s="44"/>
      <c r="AT375" s="44"/>
      <c r="AU375" s="44"/>
      <c r="AV375" s="44"/>
      <c r="AW375" s="44"/>
      <c r="AX375" s="45"/>
      <c r="AY375" s="44"/>
      <c r="AZ375" s="56"/>
      <c r="BA375" s="45"/>
    </row>
    <row r="376" customFormat="false" ht="15" hidden="false" customHeight="false" outlineLevel="0" collapsed="false">
      <c r="A376" s="44"/>
      <c r="B376" s="44"/>
      <c r="C376" s="45"/>
      <c r="D376" s="45"/>
      <c r="E376" s="44"/>
      <c r="F376" s="44"/>
      <c r="G376" s="44"/>
      <c r="H376" s="44"/>
      <c r="I376" s="44"/>
      <c r="J376" s="44"/>
      <c r="K376" s="44"/>
      <c r="L376" s="44"/>
      <c r="M376" s="44"/>
      <c r="N376" s="44"/>
      <c r="O376" s="46"/>
      <c r="P376" s="44"/>
      <c r="Q376" s="46"/>
      <c r="R376" s="44"/>
      <c r="S376" s="45"/>
      <c r="T376" s="44"/>
      <c r="U376" s="44"/>
      <c r="V376" s="47"/>
      <c r="W376" s="48" t="str">
        <f aca="false">IF(V376="","",IFERROR(V376/O376,""))</f>
        <v/>
      </c>
      <c r="X376" s="44"/>
      <c r="Y376" s="46"/>
      <c r="Z376" s="49"/>
      <c r="AA376" s="44"/>
      <c r="AB376" s="50" t="str">
        <f aca="false">IFERROR(INDEX(TABLA_IVA!$C$3:$C$6,MATCH(AA376,TABLA_IVA!$A$3:$A$6,0)),"")</f>
        <v/>
      </c>
      <c r="AC376" s="47"/>
      <c r="AD376" s="44"/>
      <c r="AE376" s="51"/>
      <c r="AF376" s="52" t="str">
        <f aca="false">IF(OR(AC376="",AE376="",AB376=""),"",IFERROR(AC376/(1-AE376)*(1+AB376),""))</f>
        <v/>
      </c>
      <c r="AG376" s="47"/>
      <c r="AH376" s="52" t="str">
        <f aca="false">IF(AD376="FIJO",IF(AG376="","",AG376),IF(AF376&lt;&gt;"",AF376,IF(AG376="","",AG376)))</f>
        <v/>
      </c>
      <c r="AI376" s="52" t="str">
        <f aca="false">IF(OR(AH376="",AB376=""),"",IFERROR(AH376/(1+AB376),""))</f>
        <v/>
      </c>
      <c r="AJ376" s="50" t="str">
        <f aca="false">IF(OR(AI376="",AC376=""),"",IFERROR((AI376-AC376)/AI376,""))</f>
        <v/>
      </c>
      <c r="AK376" s="53" t="str">
        <f aca="false">IF(OR(AJ376="",AE376=""),"",AJ376-AE376)</f>
        <v/>
      </c>
      <c r="AL376" s="54" t="str">
        <f aca="false">IF(OR(AH376="",AF376=""),"",AH376-AF376)</f>
        <v/>
      </c>
      <c r="AM376" s="55" t="str">
        <f aca="false">IF(OR(A376="",K376&lt;&gt;"SI"),"",IF(AE376="","Sin objetivo",IF(AJ376="","Faltan datos",IF(AJ376&lt;0,"PÉRDIDA",IF(AK376&lt;-UMB_CRITICO,"MUY POR DEBAJO",IF(AK376&lt;-UMB_BAJO,"POR DEBAJO",IF(AK376&lt;-UMB_AJUSTADO,"AJUSTADO",IF(AK376&lt;=UMB_ALTO,"EN OBJETIVO","POR ENCIMA"))))))))</f>
        <v/>
      </c>
      <c r="AN376" s="44"/>
      <c r="AO376" s="44"/>
      <c r="AP376" s="46"/>
      <c r="AQ376" s="46"/>
      <c r="AR376" s="46"/>
      <c r="AS376" s="44"/>
      <c r="AT376" s="44"/>
      <c r="AU376" s="44"/>
      <c r="AV376" s="44"/>
      <c r="AW376" s="44"/>
      <c r="AX376" s="45"/>
      <c r="AY376" s="44"/>
      <c r="AZ376" s="56"/>
      <c r="BA376" s="45"/>
    </row>
    <row r="377" customFormat="false" ht="15" hidden="false" customHeight="false" outlineLevel="0" collapsed="false">
      <c r="A377" s="44"/>
      <c r="B377" s="44"/>
      <c r="C377" s="45"/>
      <c r="D377" s="45"/>
      <c r="E377" s="44"/>
      <c r="F377" s="44"/>
      <c r="G377" s="44"/>
      <c r="H377" s="44"/>
      <c r="I377" s="44"/>
      <c r="J377" s="44"/>
      <c r="K377" s="44"/>
      <c r="L377" s="44"/>
      <c r="M377" s="44"/>
      <c r="N377" s="44"/>
      <c r="O377" s="46"/>
      <c r="P377" s="44"/>
      <c r="Q377" s="46"/>
      <c r="R377" s="44"/>
      <c r="S377" s="45"/>
      <c r="T377" s="44"/>
      <c r="U377" s="44"/>
      <c r="V377" s="47"/>
      <c r="W377" s="48" t="str">
        <f aca="false">IF(V377="","",IFERROR(V377/O377,""))</f>
        <v/>
      </c>
      <c r="X377" s="44"/>
      <c r="Y377" s="46"/>
      <c r="Z377" s="49"/>
      <c r="AA377" s="44"/>
      <c r="AB377" s="50" t="str">
        <f aca="false">IFERROR(INDEX(TABLA_IVA!$C$3:$C$6,MATCH(AA377,TABLA_IVA!$A$3:$A$6,0)),"")</f>
        <v/>
      </c>
      <c r="AC377" s="47"/>
      <c r="AD377" s="44"/>
      <c r="AE377" s="51"/>
      <c r="AF377" s="52" t="str">
        <f aca="false">IF(OR(AC377="",AE377="",AB377=""),"",IFERROR(AC377/(1-AE377)*(1+AB377),""))</f>
        <v/>
      </c>
      <c r="AG377" s="47"/>
      <c r="AH377" s="52" t="str">
        <f aca="false">IF(AD377="FIJO",IF(AG377="","",AG377),IF(AF377&lt;&gt;"",AF377,IF(AG377="","",AG377)))</f>
        <v/>
      </c>
      <c r="AI377" s="52" t="str">
        <f aca="false">IF(OR(AH377="",AB377=""),"",IFERROR(AH377/(1+AB377),""))</f>
        <v/>
      </c>
      <c r="AJ377" s="50" t="str">
        <f aca="false">IF(OR(AI377="",AC377=""),"",IFERROR((AI377-AC377)/AI377,""))</f>
        <v/>
      </c>
      <c r="AK377" s="53" t="str">
        <f aca="false">IF(OR(AJ377="",AE377=""),"",AJ377-AE377)</f>
        <v/>
      </c>
      <c r="AL377" s="54" t="str">
        <f aca="false">IF(OR(AH377="",AF377=""),"",AH377-AF377)</f>
        <v/>
      </c>
      <c r="AM377" s="55" t="str">
        <f aca="false">IF(OR(A377="",K377&lt;&gt;"SI"),"",IF(AE377="","Sin objetivo",IF(AJ377="","Faltan datos",IF(AJ377&lt;0,"PÉRDIDA",IF(AK377&lt;-UMB_CRITICO,"MUY POR DEBAJO",IF(AK377&lt;-UMB_BAJO,"POR DEBAJO",IF(AK377&lt;-UMB_AJUSTADO,"AJUSTADO",IF(AK377&lt;=UMB_ALTO,"EN OBJETIVO","POR ENCIMA"))))))))</f>
        <v/>
      </c>
      <c r="AN377" s="44"/>
      <c r="AO377" s="44"/>
      <c r="AP377" s="46"/>
      <c r="AQ377" s="46"/>
      <c r="AR377" s="46"/>
      <c r="AS377" s="44"/>
      <c r="AT377" s="44"/>
      <c r="AU377" s="44"/>
      <c r="AV377" s="44"/>
      <c r="AW377" s="44"/>
      <c r="AX377" s="45"/>
      <c r="AY377" s="44"/>
      <c r="AZ377" s="56"/>
      <c r="BA377" s="45"/>
    </row>
    <row r="378" customFormat="false" ht="15" hidden="false" customHeight="false" outlineLevel="0" collapsed="false">
      <c r="A378" s="44"/>
      <c r="B378" s="44"/>
      <c r="C378" s="45"/>
      <c r="D378" s="45"/>
      <c r="E378" s="44"/>
      <c r="F378" s="44"/>
      <c r="G378" s="44"/>
      <c r="H378" s="44"/>
      <c r="I378" s="44"/>
      <c r="J378" s="44"/>
      <c r="K378" s="44"/>
      <c r="L378" s="44"/>
      <c r="M378" s="44"/>
      <c r="N378" s="44"/>
      <c r="O378" s="46"/>
      <c r="P378" s="44"/>
      <c r="Q378" s="46"/>
      <c r="R378" s="44"/>
      <c r="S378" s="45"/>
      <c r="T378" s="44"/>
      <c r="U378" s="44"/>
      <c r="V378" s="47"/>
      <c r="W378" s="48" t="str">
        <f aca="false">IF(V378="","",IFERROR(V378/O378,""))</f>
        <v/>
      </c>
      <c r="X378" s="44"/>
      <c r="Y378" s="46"/>
      <c r="Z378" s="49"/>
      <c r="AA378" s="44"/>
      <c r="AB378" s="50" t="str">
        <f aca="false">IFERROR(INDEX(TABLA_IVA!$C$3:$C$6,MATCH(AA378,TABLA_IVA!$A$3:$A$6,0)),"")</f>
        <v/>
      </c>
      <c r="AC378" s="47"/>
      <c r="AD378" s="44"/>
      <c r="AE378" s="51"/>
      <c r="AF378" s="52" t="str">
        <f aca="false">IF(OR(AC378="",AE378="",AB378=""),"",IFERROR(AC378/(1-AE378)*(1+AB378),""))</f>
        <v/>
      </c>
      <c r="AG378" s="47"/>
      <c r="AH378" s="52" t="str">
        <f aca="false">IF(AD378="FIJO",IF(AG378="","",AG378),IF(AF378&lt;&gt;"",AF378,IF(AG378="","",AG378)))</f>
        <v/>
      </c>
      <c r="AI378" s="52" t="str">
        <f aca="false">IF(OR(AH378="",AB378=""),"",IFERROR(AH378/(1+AB378),""))</f>
        <v/>
      </c>
      <c r="AJ378" s="50" t="str">
        <f aca="false">IF(OR(AI378="",AC378=""),"",IFERROR((AI378-AC378)/AI378,""))</f>
        <v/>
      </c>
      <c r="AK378" s="53" t="str">
        <f aca="false">IF(OR(AJ378="",AE378=""),"",AJ378-AE378)</f>
        <v/>
      </c>
      <c r="AL378" s="54" t="str">
        <f aca="false">IF(OR(AH378="",AF378=""),"",AH378-AF378)</f>
        <v/>
      </c>
      <c r="AM378" s="55" t="str">
        <f aca="false">IF(OR(A378="",K378&lt;&gt;"SI"),"",IF(AE378="","Sin objetivo",IF(AJ378="","Faltan datos",IF(AJ378&lt;0,"PÉRDIDA",IF(AK378&lt;-UMB_CRITICO,"MUY POR DEBAJO",IF(AK378&lt;-UMB_BAJO,"POR DEBAJO",IF(AK378&lt;-UMB_AJUSTADO,"AJUSTADO",IF(AK378&lt;=UMB_ALTO,"EN OBJETIVO","POR ENCIMA"))))))))</f>
        <v/>
      </c>
      <c r="AN378" s="44"/>
      <c r="AO378" s="44"/>
      <c r="AP378" s="46"/>
      <c r="AQ378" s="46"/>
      <c r="AR378" s="46"/>
      <c r="AS378" s="44"/>
      <c r="AT378" s="44"/>
      <c r="AU378" s="44"/>
      <c r="AV378" s="44"/>
      <c r="AW378" s="44"/>
      <c r="AX378" s="45"/>
      <c r="AY378" s="44"/>
      <c r="AZ378" s="56"/>
      <c r="BA378" s="45"/>
    </row>
    <row r="379" customFormat="false" ht="15" hidden="false" customHeight="false" outlineLevel="0" collapsed="false">
      <c r="A379" s="44"/>
      <c r="B379" s="44"/>
      <c r="C379" s="45"/>
      <c r="D379" s="45"/>
      <c r="E379" s="44"/>
      <c r="F379" s="44"/>
      <c r="G379" s="44"/>
      <c r="H379" s="44"/>
      <c r="I379" s="44"/>
      <c r="J379" s="44"/>
      <c r="K379" s="44"/>
      <c r="L379" s="44"/>
      <c r="M379" s="44"/>
      <c r="N379" s="44"/>
      <c r="O379" s="46"/>
      <c r="P379" s="44"/>
      <c r="Q379" s="46"/>
      <c r="R379" s="44"/>
      <c r="S379" s="45"/>
      <c r="T379" s="44"/>
      <c r="U379" s="44"/>
      <c r="V379" s="47"/>
      <c r="W379" s="48" t="str">
        <f aca="false">IF(V379="","",IFERROR(V379/O379,""))</f>
        <v/>
      </c>
      <c r="X379" s="44"/>
      <c r="Y379" s="46"/>
      <c r="Z379" s="49"/>
      <c r="AA379" s="44"/>
      <c r="AB379" s="50" t="str">
        <f aca="false">IFERROR(INDEX(TABLA_IVA!$C$3:$C$6,MATCH(AA379,TABLA_IVA!$A$3:$A$6,0)),"")</f>
        <v/>
      </c>
      <c r="AC379" s="47"/>
      <c r="AD379" s="44"/>
      <c r="AE379" s="51"/>
      <c r="AF379" s="52" t="str">
        <f aca="false">IF(OR(AC379="",AE379="",AB379=""),"",IFERROR(AC379/(1-AE379)*(1+AB379),""))</f>
        <v/>
      </c>
      <c r="AG379" s="47"/>
      <c r="AH379" s="52" t="str">
        <f aca="false">IF(AD379="FIJO",IF(AG379="","",AG379),IF(AF379&lt;&gt;"",AF379,IF(AG379="","",AG379)))</f>
        <v/>
      </c>
      <c r="AI379" s="52" t="str">
        <f aca="false">IF(OR(AH379="",AB379=""),"",IFERROR(AH379/(1+AB379),""))</f>
        <v/>
      </c>
      <c r="AJ379" s="50" t="str">
        <f aca="false">IF(OR(AI379="",AC379=""),"",IFERROR((AI379-AC379)/AI379,""))</f>
        <v/>
      </c>
      <c r="AK379" s="53" t="str">
        <f aca="false">IF(OR(AJ379="",AE379=""),"",AJ379-AE379)</f>
        <v/>
      </c>
      <c r="AL379" s="54" t="str">
        <f aca="false">IF(OR(AH379="",AF379=""),"",AH379-AF379)</f>
        <v/>
      </c>
      <c r="AM379" s="55" t="str">
        <f aca="false">IF(OR(A379="",K379&lt;&gt;"SI"),"",IF(AE379="","Sin objetivo",IF(AJ379="","Faltan datos",IF(AJ379&lt;0,"PÉRDIDA",IF(AK379&lt;-UMB_CRITICO,"MUY POR DEBAJO",IF(AK379&lt;-UMB_BAJO,"POR DEBAJO",IF(AK379&lt;-UMB_AJUSTADO,"AJUSTADO",IF(AK379&lt;=UMB_ALTO,"EN OBJETIVO","POR ENCIMA"))))))))</f>
        <v/>
      </c>
      <c r="AN379" s="44"/>
      <c r="AO379" s="44"/>
      <c r="AP379" s="46"/>
      <c r="AQ379" s="46"/>
      <c r="AR379" s="46"/>
      <c r="AS379" s="44"/>
      <c r="AT379" s="44"/>
      <c r="AU379" s="44"/>
      <c r="AV379" s="44"/>
      <c r="AW379" s="44"/>
      <c r="AX379" s="45"/>
      <c r="AY379" s="44"/>
      <c r="AZ379" s="56"/>
      <c r="BA379" s="45"/>
    </row>
    <row r="380" customFormat="false" ht="15" hidden="false" customHeight="false" outlineLevel="0" collapsed="false">
      <c r="A380" s="44"/>
      <c r="B380" s="44"/>
      <c r="C380" s="45"/>
      <c r="D380" s="45"/>
      <c r="E380" s="44"/>
      <c r="F380" s="44"/>
      <c r="G380" s="44"/>
      <c r="H380" s="44"/>
      <c r="I380" s="44"/>
      <c r="J380" s="44"/>
      <c r="K380" s="44"/>
      <c r="L380" s="44"/>
      <c r="M380" s="44"/>
      <c r="N380" s="44"/>
      <c r="O380" s="46"/>
      <c r="P380" s="44"/>
      <c r="Q380" s="46"/>
      <c r="R380" s="44"/>
      <c r="S380" s="45"/>
      <c r="T380" s="44"/>
      <c r="U380" s="44"/>
      <c r="V380" s="47"/>
      <c r="W380" s="48" t="str">
        <f aca="false">IF(V380="","",IFERROR(V380/O380,""))</f>
        <v/>
      </c>
      <c r="X380" s="44"/>
      <c r="Y380" s="46"/>
      <c r="Z380" s="49"/>
      <c r="AA380" s="44"/>
      <c r="AB380" s="50" t="str">
        <f aca="false">IFERROR(INDEX(TABLA_IVA!$C$3:$C$6,MATCH(AA380,TABLA_IVA!$A$3:$A$6,0)),"")</f>
        <v/>
      </c>
      <c r="AC380" s="47"/>
      <c r="AD380" s="44"/>
      <c r="AE380" s="51"/>
      <c r="AF380" s="52" t="str">
        <f aca="false">IF(OR(AC380="",AE380="",AB380=""),"",IFERROR(AC380/(1-AE380)*(1+AB380),""))</f>
        <v/>
      </c>
      <c r="AG380" s="47"/>
      <c r="AH380" s="52" t="str">
        <f aca="false">IF(AD380="FIJO",IF(AG380="","",AG380),IF(AF380&lt;&gt;"",AF380,IF(AG380="","",AG380)))</f>
        <v/>
      </c>
      <c r="AI380" s="52" t="str">
        <f aca="false">IF(OR(AH380="",AB380=""),"",IFERROR(AH380/(1+AB380),""))</f>
        <v/>
      </c>
      <c r="AJ380" s="50" t="str">
        <f aca="false">IF(OR(AI380="",AC380=""),"",IFERROR((AI380-AC380)/AI380,""))</f>
        <v/>
      </c>
      <c r="AK380" s="53" t="str">
        <f aca="false">IF(OR(AJ380="",AE380=""),"",AJ380-AE380)</f>
        <v/>
      </c>
      <c r="AL380" s="54" t="str">
        <f aca="false">IF(OR(AH380="",AF380=""),"",AH380-AF380)</f>
        <v/>
      </c>
      <c r="AM380" s="55" t="str">
        <f aca="false">IF(OR(A380="",K380&lt;&gt;"SI"),"",IF(AE380="","Sin objetivo",IF(AJ380="","Faltan datos",IF(AJ380&lt;0,"PÉRDIDA",IF(AK380&lt;-UMB_CRITICO,"MUY POR DEBAJO",IF(AK380&lt;-UMB_BAJO,"POR DEBAJO",IF(AK380&lt;-UMB_AJUSTADO,"AJUSTADO",IF(AK380&lt;=UMB_ALTO,"EN OBJETIVO","POR ENCIMA"))))))))</f>
        <v/>
      </c>
      <c r="AN380" s="44"/>
      <c r="AO380" s="44"/>
      <c r="AP380" s="46"/>
      <c r="AQ380" s="46"/>
      <c r="AR380" s="46"/>
      <c r="AS380" s="44"/>
      <c r="AT380" s="44"/>
      <c r="AU380" s="44"/>
      <c r="AV380" s="44"/>
      <c r="AW380" s="44"/>
      <c r="AX380" s="45"/>
      <c r="AY380" s="44"/>
      <c r="AZ380" s="56"/>
      <c r="BA380" s="45"/>
    </row>
    <row r="381" customFormat="false" ht="15" hidden="false" customHeight="false" outlineLevel="0" collapsed="false">
      <c r="A381" s="44"/>
      <c r="B381" s="44"/>
      <c r="C381" s="45"/>
      <c r="D381" s="45"/>
      <c r="E381" s="44"/>
      <c r="F381" s="44"/>
      <c r="G381" s="44"/>
      <c r="H381" s="44"/>
      <c r="I381" s="44"/>
      <c r="J381" s="44"/>
      <c r="K381" s="44"/>
      <c r="L381" s="44"/>
      <c r="M381" s="44"/>
      <c r="N381" s="44"/>
      <c r="O381" s="46"/>
      <c r="P381" s="44"/>
      <c r="Q381" s="46"/>
      <c r="R381" s="44"/>
      <c r="S381" s="45"/>
      <c r="T381" s="44"/>
      <c r="U381" s="44"/>
      <c r="V381" s="47"/>
      <c r="W381" s="48" t="str">
        <f aca="false">IF(V381="","",IFERROR(V381/O381,""))</f>
        <v/>
      </c>
      <c r="X381" s="44"/>
      <c r="Y381" s="46"/>
      <c r="Z381" s="49"/>
      <c r="AA381" s="44"/>
      <c r="AB381" s="50" t="str">
        <f aca="false">IFERROR(INDEX(TABLA_IVA!$C$3:$C$6,MATCH(AA381,TABLA_IVA!$A$3:$A$6,0)),"")</f>
        <v/>
      </c>
      <c r="AC381" s="47"/>
      <c r="AD381" s="44"/>
      <c r="AE381" s="51"/>
      <c r="AF381" s="52" t="str">
        <f aca="false">IF(OR(AC381="",AE381="",AB381=""),"",IFERROR(AC381/(1-AE381)*(1+AB381),""))</f>
        <v/>
      </c>
      <c r="AG381" s="47"/>
      <c r="AH381" s="52" t="str">
        <f aca="false">IF(AD381="FIJO",IF(AG381="","",AG381),IF(AF381&lt;&gt;"",AF381,IF(AG381="","",AG381)))</f>
        <v/>
      </c>
      <c r="AI381" s="52" t="str">
        <f aca="false">IF(OR(AH381="",AB381=""),"",IFERROR(AH381/(1+AB381),""))</f>
        <v/>
      </c>
      <c r="AJ381" s="50" t="str">
        <f aca="false">IF(OR(AI381="",AC381=""),"",IFERROR((AI381-AC381)/AI381,""))</f>
        <v/>
      </c>
      <c r="AK381" s="53" t="str">
        <f aca="false">IF(OR(AJ381="",AE381=""),"",AJ381-AE381)</f>
        <v/>
      </c>
      <c r="AL381" s="54" t="str">
        <f aca="false">IF(OR(AH381="",AF381=""),"",AH381-AF381)</f>
        <v/>
      </c>
      <c r="AM381" s="55" t="str">
        <f aca="false">IF(OR(A381="",K381&lt;&gt;"SI"),"",IF(AE381="","Sin objetivo",IF(AJ381="","Faltan datos",IF(AJ381&lt;0,"PÉRDIDA",IF(AK381&lt;-UMB_CRITICO,"MUY POR DEBAJO",IF(AK381&lt;-UMB_BAJO,"POR DEBAJO",IF(AK381&lt;-UMB_AJUSTADO,"AJUSTADO",IF(AK381&lt;=UMB_ALTO,"EN OBJETIVO","POR ENCIMA"))))))))</f>
        <v/>
      </c>
      <c r="AN381" s="44"/>
      <c r="AO381" s="44"/>
      <c r="AP381" s="46"/>
      <c r="AQ381" s="46"/>
      <c r="AR381" s="46"/>
      <c r="AS381" s="44"/>
      <c r="AT381" s="44"/>
      <c r="AU381" s="44"/>
      <c r="AV381" s="44"/>
      <c r="AW381" s="44"/>
      <c r="AX381" s="45"/>
      <c r="AY381" s="44"/>
      <c r="AZ381" s="56"/>
      <c r="BA381" s="45"/>
    </row>
    <row r="382" customFormat="false" ht="15" hidden="false" customHeight="false" outlineLevel="0" collapsed="false">
      <c r="A382" s="44"/>
      <c r="B382" s="44"/>
      <c r="C382" s="45"/>
      <c r="D382" s="45"/>
      <c r="E382" s="44"/>
      <c r="F382" s="44"/>
      <c r="G382" s="44"/>
      <c r="H382" s="44"/>
      <c r="I382" s="44"/>
      <c r="J382" s="44"/>
      <c r="K382" s="44"/>
      <c r="L382" s="44"/>
      <c r="M382" s="44"/>
      <c r="N382" s="44"/>
      <c r="O382" s="46"/>
      <c r="P382" s="44"/>
      <c r="Q382" s="46"/>
      <c r="R382" s="44"/>
      <c r="S382" s="45"/>
      <c r="T382" s="44"/>
      <c r="U382" s="44"/>
      <c r="V382" s="47"/>
      <c r="W382" s="48" t="str">
        <f aca="false">IF(V382="","",IFERROR(V382/O382,""))</f>
        <v/>
      </c>
      <c r="X382" s="44"/>
      <c r="Y382" s="46"/>
      <c r="Z382" s="49"/>
      <c r="AA382" s="44"/>
      <c r="AB382" s="50" t="str">
        <f aca="false">IFERROR(INDEX(TABLA_IVA!$C$3:$C$6,MATCH(AA382,TABLA_IVA!$A$3:$A$6,0)),"")</f>
        <v/>
      </c>
      <c r="AC382" s="47"/>
      <c r="AD382" s="44"/>
      <c r="AE382" s="51"/>
      <c r="AF382" s="52" t="str">
        <f aca="false">IF(OR(AC382="",AE382="",AB382=""),"",IFERROR(AC382/(1-AE382)*(1+AB382),""))</f>
        <v/>
      </c>
      <c r="AG382" s="47"/>
      <c r="AH382" s="52" t="str">
        <f aca="false">IF(AD382="FIJO",IF(AG382="","",AG382),IF(AF382&lt;&gt;"",AF382,IF(AG382="","",AG382)))</f>
        <v/>
      </c>
      <c r="AI382" s="52" t="str">
        <f aca="false">IF(OR(AH382="",AB382=""),"",IFERROR(AH382/(1+AB382),""))</f>
        <v/>
      </c>
      <c r="AJ382" s="50" t="str">
        <f aca="false">IF(OR(AI382="",AC382=""),"",IFERROR((AI382-AC382)/AI382,""))</f>
        <v/>
      </c>
      <c r="AK382" s="53" t="str">
        <f aca="false">IF(OR(AJ382="",AE382=""),"",AJ382-AE382)</f>
        <v/>
      </c>
      <c r="AL382" s="54" t="str">
        <f aca="false">IF(OR(AH382="",AF382=""),"",AH382-AF382)</f>
        <v/>
      </c>
      <c r="AM382" s="55" t="str">
        <f aca="false">IF(OR(A382="",K382&lt;&gt;"SI"),"",IF(AE382="","Sin objetivo",IF(AJ382="","Faltan datos",IF(AJ382&lt;0,"PÉRDIDA",IF(AK382&lt;-UMB_CRITICO,"MUY POR DEBAJO",IF(AK382&lt;-UMB_BAJO,"POR DEBAJO",IF(AK382&lt;-UMB_AJUSTADO,"AJUSTADO",IF(AK382&lt;=UMB_ALTO,"EN OBJETIVO","POR ENCIMA"))))))))</f>
        <v/>
      </c>
      <c r="AN382" s="44"/>
      <c r="AO382" s="44"/>
      <c r="AP382" s="46"/>
      <c r="AQ382" s="46"/>
      <c r="AR382" s="46"/>
      <c r="AS382" s="44"/>
      <c r="AT382" s="44"/>
      <c r="AU382" s="44"/>
      <c r="AV382" s="44"/>
      <c r="AW382" s="44"/>
      <c r="AX382" s="45"/>
      <c r="AY382" s="44"/>
      <c r="AZ382" s="56"/>
      <c r="BA382" s="45"/>
    </row>
    <row r="383" customFormat="false" ht="15" hidden="false" customHeight="false" outlineLevel="0" collapsed="false">
      <c r="A383" s="44"/>
      <c r="B383" s="44"/>
      <c r="C383" s="45"/>
      <c r="D383" s="45"/>
      <c r="E383" s="44"/>
      <c r="F383" s="44"/>
      <c r="G383" s="44"/>
      <c r="H383" s="44"/>
      <c r="I383" s="44"/>
      <c r="J383" s="44"/>
      <c r="K383" s="44"/>
      <c r="L383" s="44"/>
      <c r="M383" s="44"/>
      <c r="N383" s="44"/>
      <c r="O383" s="46"/>
      <c r="P383" s="44"/>
      <c r="Q383" s="46"/>
      <c r="R383" s="44"/>
      <c r="S383" s="45"/>
      <c r="T383" s="44"/>
      <c r="U383" s="44"/>
      <c r="V383" s="47"/>
      <c r="W383" s="48" t="str">
        <f aca="false">IF(V383="","",IFERROR(V383/O383,""))</f>
        <v/>
      </c>
      <c r="X383" s="44"/>
      <c r="Y383" s="46"/>
      <c r="Z383" s="49"/>
      <c r="AA383" s="44"/>
      <c r="AB383" s="50" t="str">
        <f aca="false">IFERROR(INDEX(TABLA_IVA!$C$3:$C$6,MATCH(AA383,TABLA_IVA!$A$3:$A$6,0)),"")</f>
        <v/>
      </c>
      <c r="AC383" s="47"/>
      <c r="AD383" s="44"/>
      <c r="AE383" s="51"/>
      <c r="AF383" s="52" t="str">
        <f aca="false">IF(OR(AC383="",AE383="",AB383=""),"",IFERROR(AC383/(1-AE383)*(1+AB383),""))</f>
        <v/>
      </c>
      <c r="AG383" s="47"/>
      <c r="AH383" s="52" t="str">
        <f aca="false">IF(AD383="FIJO",IF(AG383="","",AG383),IF(AF383&lt;&gt;"",AF383,IF(AG383="","",AG383)))</f>
        <v/>
      </c>
      <c r="AI383" s="52" t="str">
        <f aca="false">IF(OR(AH383="",AB383=""),"",IFERROR(AH383/(1+AB383),""))</f>
        <v/>
      </c>
      <c r="AJ383" s="50" t="str">
        <f aca="false">IF(OR(AI383="",AC383=""),"",IFERROR((AI383-AC383)/AI383,""))</f>
        <v/>
      </c>
      <c r="AK383" s="53" t="str">
        <f aca="false">IF(OR(AJ383="",AE383=""),"",AJ383-AE383)</f>
        <v/>
      </c>
      <c r="AL383" s="54" t="str">
        <f aca="false">IF(OR(AH383="",AF383=""),"",AH383-AF383)</f>
        <v/>
      </c>
      <c r="AM383" s="55" t="str">
        <f aca="false">IF(OR(A383="",K383&lt;&gt;"SI"),"",IF(AE383="","Sin objetivo",IF(AJ383="","Faltan datos",IF(AJ383&lt;0,"PÉRDIDA",IF(AK383&lt;-UMB_CRITICO,"MUY POR DEBAJO",IF(AK383&lt;-UMB_BAJO,"POR DEBAJO",IF(AK383&lt;-UMB_AJUSTADO,"AJUSTADO",IF(AK383&lt;=UMB_ALTO,"EN OBJETIVO","POR ENCIMA"))))))))</f>
        <v/>
      </c>
      <c r="AN383" s="44"/>
      <c r="AO383" s="44"/>
      <c r="AP383" s="46"/>
      <c r="AQ383" s="46"/>
      <c r="AR383" s="46"/>
      <c r="AS383" s="44"/>
      <c r="AT383" s="44"/>
      <c r="AU383" s="44"/>
      <c r="AV383" s="44"/>
      <c r="AW383" s="44"/>
      <c r="AX383" s="45"/>
      <c r="AY383" s="44"/>
      <c r="AZ383" s="56"/>
      <c r="BA383" s="45"/>
    </row>
    <row r="384" customFormat="false" ht="15" hidden="false" customHeight="false" outlineLevel="0" collapsed="false">
      <c r="A384" s="44"/>
      <c r="B384" s="44"/>
      <c r="C384" s="45"/>
      <c r="D384" s="45"/>
      <c r="E384" s="44"/>
      <c r="F384" s="44"/>
      <c r="G384" s="44"/>
      <c r="H384" s="44"/>
      <c r="I384" s="44"/>
      <c r="J384" s="44"/>
      <c r="K384" s="44"/>
      <c r="L384" s="44"/>
      <c r="M384" s="44"/>
      <c r="N384" s="44"/>
      <c r="O384" s="46"/>
      <c r="P384" s="44"/>
      <c r="Q384" s="46"/>
      <c r="R384" s="44"/>
      <c r="S384" s="45"/>
      <c r="T384" s="44"/>
      <c r="U384" s="44"/>
      <c r="V384" s="47"/>
      <c r="W384" s="48" t="str">
        <f aca="false">IF(V384="","",IFERROR(V384/O384,""))</f>
        <v/>
      </c>
      <c r="X384" s="44"/>
      <c r="Y384" s="46"/>
      <c r="Z384" s="49"/>
      <c r="AA384" s="44"/>
      <c r="AB384" s="50" t="str">
        <f aca="false">IFERROR(INDEX(TABLA_IVA!$C$3:$C$6,MATCH(AA384,TABLA_IVA!$A$3:$A$6,0)),"")</f>
        <v/>
      </c>
      <c r="AC384" s="47"/>
      <c r="AD384" s="44"/>
      <c r="AE384" s="51"/>
      <c r="AF384" s="52" t="str">
        <f aca="false">IF(OR(AC384="",AE384="",AB384=""),"",IFERROR(AC384/(1-AE384)*(1+AB384),""))</f>
        <v/>
      </c>
      <c r="AG384" s="47"/>
      <c r="AH384" s="52" t="str">
        <f aca="false">IF(AD384="FIJO",IF(AG384="","",AG384),IF(AF384&lt;&gt;"",AF384,IF(AG384="","",AG384)))</f>
        <v/>
      </c>
      <c r="AI384" s="52" t="str">
        <f aca="false">IF(OR(AH384="",AB384=""),"",IFERROR(AH384/(1+AB384),""))</f>
        <v/>
      </c>
      <c r="AJ384" s="50" t="str">
        <f aca="false">IF(OR(AI384="",AC384=""),"",IFERROR((AI384-AC384)/AI384,""))</f>
        <v/>
      </c>
      <c r="AK384" s="53" t="str">
        <f aca="false">IF(OR(AJ384="",AE384=""),"",AJ384-AE384)</f>
        <v/>
      </c>
      <c r="AL384" s="54" t="str">
        <f aca="false">IF(OR(AH384="",AF384=""),"",AH384-AF384)</f>
        <v/>
      </c>
      <c r="AM384" s="55" t="str">
        <f aca="false">IF(OR(A384="",K384&lt;&gt;"SI"),"",IF(AE384="","Sin objetivo",IF(AJ384="","Faltan datos",IF(AJ384&lt;0,"PÉRDIDA",IF(AK384&lt;-UMB_CRITICO,"MUY POR DEBAJO",IF(AK384&lt;-UMB_BAJO,"POR DEBAJO",IF(AK384&lt;-UMB_AJUSTADO,"AJUSTADO",IF(AK384&lt;=UMB_ALTO,"EN OBJETIVO","POR ENCIMA"))))))))</f>
        <v/>
      </c>
      <c r="AN384" s="44"/>
      <c r="AO384" s="44"/>
      <c r="AP384" s="46"/>
      <c r="AQ384" s="46"/>
      <c r="AR384" s="46"/>
      <c r="AS384" s="44"/>
      <c r="AT384" s="44"/>
      <c r="AU384" s="44"/>
      <c r="AV384" s="44"/>
      <c r="AW384" s="44"/>
      <c r="AX384" s="45"/>
      <c r="AY384" s="44"/>
      <c r="AZ384" s="56"/>
      <c r="BA384" s="45"/>
    </row>
    <row r="385" customFormat="false" ht="15" hidden="false" customHeight="false" outlineLevel="0" collapsed="false">
      <c r="A385" s="44"/>
      <c r="B385" s="44"/>
      <c r="C385" s="45"/>
      <c r="D385" s="45"/>
      <c r="E385" s="44"/>
      <c r="F385" s="44"/>
      <c r="G385" s="44"/>
      <c r="H385" s="44"/>
      <c r="I385" s="44"/>
      <c r="J385" s="44"/>
      <c r="K385" s="44"/>
      <c r="L385" s="44"/>
      <c r="M385" s="44"/>
      <c r="N385" s="44"/>
      <c r="O385" s="46"/>
      <c r="P385" s="44"/>
      <c r="Q385" s="46"/>
      <c r="R385" s="44"/>
      <c r="S385" s="45"/>
      <c r="T385" s="44"/>
      <c r="U385" s="44"/>
      <c r="V385" s="47"/>
      <c r="W385" s="48" t="str">
        <f aca="false">IF(V385="","",IFERROR(V385/O385,""))</f>
        <v/>
      </c>
      <c r="X385" s="44"/>
      <c r="Y385" s="46"/>
      <c r="Z385" s="49"/>
      <c r="AA385" s="44"/>
      <c r="AB385" s="50" t="str">
        <f aca="false">IFERROR(INDEX(TABLA_IVA!$C$3:$C$6,MATCH(AA385,TABLA_IVA!$A$3:$A$6,0)),"")</f>
        <v/>
      </c>
      <c r="AC385" s="47"/>
      <c r="AD385" s="44"/>
      <c r="AE385" s="51"/>
      <c r="AF385" s="52" t="str">
        <f aca="false">IF(OR(AC385="",AE385="",AB385=""),"",IFERROR(AC385/(1-AE385)*(1+AB385),""))</f>
        <v/>
      </c>
      <c r="AG385" s="47"/>
      <c r="AH385" s="52" t="str">
        <f aca="false">IF(AD385="FIJO",IF(AG385="","",AG385),IF(AF385&lt;&gt;"",AF385,IF(AG385="","",AG385)))</f>
        <v/>
      </c>
      <c r="AI385" s="52" t="str">
        <f aca="false">IF(OR(AH385="",AB385=""),"",IFERROR(AH385/(1+AB385),""))</f>
        <v/>
      </c>
      <c r="AJ385" s="50" t="str">
        <f aca="false">IF(OR(AI385="",AC385=""),"",IFERROR((AI385-AC385)/AI385,""))</f>
        <v/>
      </c>
      <c r="AK385" s="53" t="str">
        <f aca="false">IF(OR(AJ385="",AE385=""),"",AJ385-AE385)</f>
        <v/>
      </c>
      <c r="AL385" s="54" t="str">
        <f aca="false">IF(OR(AH385="",AF385=""),"",AH385-AF385)</f>
        <v/>
      </c>
      <c r="AM385" s="55" t="str">
        <f aca="false">IF(OR(A385="",K385&lt;&gt;"SI"),"",IF(AE385="","Sin objetivo",IF(AJ385="","Faltan datos",IF(AJ385&lt;0,"PÉRDIDA",IF(AK385&lt;-UMB_CRITICO,"MUY POR DEBAJO",IF(AK385&lt;-UMB_BAJO,"POR DEBAJO",IF(AK385&lt;-UMB_AJUSTADO,"AJUSTADO",IF(AK385&lt;=UMB_ALTO,"EN OBJETIVO","POR ENCIMA"))))))))</f>
        <v/>
      </c>
      <c r="AN385" s="44"/>
      <c r="AO385" s="44"/>
      <c r="AP385" s="46"/>
      <c r="AQ385" s="46"/>
      <c r="AR385" s="46"/>
      <c r="AS385" s="44"/>
      <c r="AT385" s="44"/>
      <c r="AU385" s="44"/>
      <c r="AV385" s="44"/>
      <c r="AW385" s="44"/>
      <c r="AX385" s="45"/>
      <c r="AY385" s="44"/>
      <c r="AZ385" s="56"/>
      <c r="BA385" s="45"/>
    </row>
    <row r="386" customFormat="false" ht="15" hidden="false" customHeight="false" outlineLevel="0" collapsed="false">
      <c r="A386" s="44"/>
      <c r="B386" s="44"/>
      <c r="C386" s="45"/>
      <c r="D386" s="45"/>
      <c r="E386" s="44"/>
      <c r="F386" s="44"/>
      <c r="G386" s="44"/>
      <c r="H386" s="44"/>
      <c r="I386" s="44"/>
      <c r="J386" s="44"/>
      <c r="K386" s="44"/>
      <c r="L386" s="44"/>
      <c r="M386" s="44"/>
      <c r="N386" s="44"/>
      <c r="O386" s="46"/>
      <c r="P386" s="44"/>
      <c r="Q386" s="46"/>
      <c r="R386" s="44"/>
      <c r="S386" s="45"/>
      <c r="T386" s="44"/>
      <c r="U386" s="44"/>
      <c r="V386" s="47"/>
      <c r="W386" s="48" t="str">
        <f aca="false">IF(V386="","",IFERROR(V386/O386,""))</f>
        <v/>
      </c>
      <c r="X386" s="44"/>
      <c r="Y386" s="46"/>
      <c r="Z386" s="49"/>
      <c r="AA386" s="44"/>
      <c r="AB386" s="50" t="str">
        <f aca="false">IFERROR(INDEX(TABLA_IVA!$C$3:$C$6,MATCH(AA386,TABLA_IVA!$A$3:$A$6,0)),"")</f>
        <v/>
      </c>
      <c r="AC386" s="47"/>
      <c r="AD386" s="44"/>
      <c r="AE386" s="51"/>
      <c r="AF386" s="52" t="str">
        <f aca="false">IF(OR(AC386="",AE386="",AB386=""),"",IFERROR(AC386/(1-AE386)*(1+AB386),""))</f>
        <v/>
      </c>
      <c r="AG386" s="47"/>
      <c r="AH386" s="52" t="str">
        <f aca="false">IF(AD386="FIJO",IF(AG386="","",AG386),IF(AF386&lt;&gt;"",AF386,IF(AG386="","",AG386)))</f>
        <v/>
      </c>
      <c r="AI386" s="52" t="str">
        <f aca="false">IF(OR(AH386="",AB386=""),"",IFERROR(AH386/(1+AB386),""))</f>
        <v/>
      </c>
      <c r="AJ386" s="50" t="str">
        <f aca="false">IF(OR(AI386="",AC386=""),"",IFERROR((AI386-AC386)/AI386,""))</f>
        <v/>
      </c>
      <c r="AK386" s="53" t="str">
        <f aca="false">IF(OR(AJ386="",AE386=""),"",AJ386-AE386)</f>
        <v/>
      </c>
      <c r="AL386" s="54" t="str">
        <f aca="false">IF(OR(AH386="",AF386=""),"",AH386-AF386)</f>
        <v/>
      </c>
      <c r="AM386" s="55" t="str">
        <f aca="false">IF(OR(A386="",K386&lt;&gt;"SI"),"",IF(AE386="","Sin objetivo",IF(AJ386="","Faltan datos",IF(AJ386&lt;0,"PÉRDIDA",IF(AK386&lt;-UMB_CRITICO,"MUY POR DEBAJO",IF(AK386&lt;-UMB_BAJO,"POR DEBAJO",IF(AK386&lt;-UMB_AJUSTADO,"AJUSTADO",IF(AK386&lt;=UMB_ALTO,"EN OBJETIVO","POR ENCIMA"))))))))</f>
        <v/>
      </c>
      <c r="AN386" s="44"/>
      <c r="AO386" s="44"/>
      <c r="AP386" s="46"/>
      <c r="AQ386" s="46"/>
      <c r="AR386" s="46"/>
      <c r="AS386" s="44"/>
      <c r="AT386" s="44"/>
      <c r="AU386" s="44"/>
      <c r="AV386" s="44"/>
      <c r="AW386" s="44"/>
      <c r="AX386" s="45"/>
      <c r="AY386" s="44"/>
      <c r="AZ386" s="56"/>
      <c r="BA386" s="45"/>
    </row>
    <row r="387" customFormat="false" ht="15" hidden="false" customHeight="false" outlineLevel="0" collapsed="false">
      <c r="A387" s="44"/>
      <c r="B387" s="44"/>
      <c r="C387" s="45"/>
      <c r="D387" s="45"/>
      <c r="E387" s="44"/>
      <c r="F387" s="44"/>
      <c r="G387" s="44"/>
      <c r="H387" s="44"/>
      <c r="I387" s="44"/>
      <c r="J387" s="44"/>
      <c r="K387" s="44"/>
      <c r="L387" s="44"/>
      <c r="M387" s="44"/>
      <c r="N387" s="44"/>
      <c r="O387" s="46"/>
      <c r="P387" s="44"/>
      <c r="Q387" s="46"/>
      <c r="R387" s="44"/>
      <c r="S387" s="45"/>
      <c r="T387" s="44"/>
      <c r="U387" s="44"/>
      <c r="V387" s="47"/>
      <c r="W387" s="48" t="str">
        <f aca="false">IF(V387="","",IFERROR(V387/O387,""))</f>
        <v/>
      </c>
      <c r="X387" s="44"/>
      <c r="Y387" s="46"/>
      <c r="Z387" s="49"/>
      <c r="AA387" s="44"/>
      <c r="AB387" s="50" t="str">
        <f aca="false">IFERROR(INDEX(TABLA_IVA!$C$3:$C$6,MATCH(AA387,TABLA_IVA!$A$3:$A$6,0)),"")</f>
        <v/>
      </c>
      <c r="AC387" s="47"/>
      <c r="AD387" s="44"/>
      <c r="AE387" s="51"/>
      <c r="AF387" s="52" t="str">
        <f aca="false">IF(OR(AC387="",AE387="",AB387=""),"",IFERROR(AC387/(1-AE387)*(1+AB387),""))</f>
        <v/>
      </c>
      <c r="AG387" s="47"/>
      <c r="AH387" s="52" t="str">
        <f aca="false">IF(AD387="FIJO",IF(AG387="","",AG387),IF(AF387&lt;&gt;"",AF387,IF(AG387="","",AG387)))</f>
        <v/>
      </c>
      <c r="AI387" s="52" t="str">
        <f aca="false">IF(OR(AH387="",AB387=""),"",IFERROR(AH387/(1+AB387),""))</f>
        <v/>
      </c>
      <c r="AJ387" s="50" t="str">
        <f aca="false">IF(OR(AI387="",AC387=""),"",IFERROR((AI387-AC387)/AI387,""))</f>
        <v/>
      </c>
      <c r="AK387" s="53" t="str">
        <f aca="false">IF(OR(AJ387="",AE387=""),"",AJ387-AE387)</f>
        <v/>
      </c>
      <c r="AL387" s="54" t="str">
        <f aca="false">IF(OR(AH387="",AF387=""),"",AH387-AF387)</f>
        <v/>
      </c>
      <c r="AM387" s="55" t="str">
        <f aca="false">IF(OR(A387="",K387&lt;&gt;"SI"),"",IF(AE387="","Sin objetivo",IF(AJ387="","Faltan datos",IF(AJ387&lt;0,"PÉRDIDA",IF(AK387&lt;-UMB_CRITICO,"MUY POR DEBAJO",IF(AK387&lt;-UMB_BAJO,"POR DEBAJO",IF(AK387&lt;-UMB_AJUSTADO,"AJUSTADO",IF(AK387&lt;=UMB_ALTO,"EN OBJETIVO","POR ENCIMA"))))))))</f>
        <v/>
      </c>
      <c r="AN387" s="44"/>
      <c r="AO387" s="44"/>
      <c r="AP387" s="46"/>
      <c r="AQ387" s="46"/>
      <c r="AR387" s="46"/>
      <c r="AS387" s="44"/>
      <c r="AT387" s="44"/>
      <c r="AU387" s="44"/>
      <c r="AV387" s="44"/>
      <c r="AW387" s="44"/>
      <c r="AX387" s="45"/>
      <c r="AY387" s="44"/>
      <c r="AZ387" s="56"/>
      <c r="BA387" s="45"/>
    </row>
    <row r="388" customFormat="false" ht="15" hidden="false" customHeight="false" outlineLevel="0" collapsed="false">
      <c r="A388" s="44"/>
      <c r="B388" s="44"/>
      <c r="C388" s="45"/>
      <c r="D388" s="45"/>
      <c r="E388" s="44"/>
      <c r="F388" s="44"/>
      <c r="G388" s="44"/>
      <c r="H388" s="44"/>
      <c r="I388" s="44"/>
      <c r="J388" s="44"/>
      <c r="K388" s="44"/>
      <c r="L388" s="44"/>
      <c r="M388" s="44"/>
      <c r="N388" s="44"/>
      <c r="O388" s="46"/>
      <c r="P388" s="44"/>
      <c r="Q388" s="46"/>
      <c r="R388" s="44"/>
      <c r="S388" s="45"/>
      <c r="T388" s="44"/>
      <c r="U388" s="44"/>
      <c r="V388" s="47"/>
      <c r="W388" s="48" t="str">
        <f aca="false">IF(V388="","",IFERROR(V388/O388,""))</f>
        <v/>
      </c>
      <c r="X388" s="44"/>
      <c r="Y388" s="46"/>
      <c r="Z388" s="49"/>
      <c r="AA388" s="44"/>
      <c r="AB388" s="50" t="str">
        <f aca="false">IFERROR(INDEX(TABLA_IVA!$C$3:$C$6,MATCH(AA388,TABLA_IVA!$A$3:$A$6,0)),"")</f>
        <v/>
      </c>
      <c r="AC388" s="47"/>
      <c r="AD388" s="44"/>
      <c r="AE388" s="51"/>
      <c r="AF388" s="52" t="str">
        <f aca="false">IF(OR(AC388="",AE388="",AB388=""),"",IFERROR(AC388/(1-AE388)*(1+AB388),""))</f>
        <v/>
      </c>
      <c r="AG388" s="47"/>
      <c r="AH388" s="52" t="str">
        <f aca="false">IF(AD388="FIJO",IF(AG388="","",AG388),IF(AF388&lt;&gt;"",AF388,IF(AG388="","",AG388)))</f>
        <v/>
      </c>
      <c r="AI388" s="52" t="str">
        <f aca="false">IF(OR(AH388="",AB388=""),"",IFERROR(AH388/(1+AB388),""))</f>
        <v/>
      </c>
      <c r="AJ388" s="50" t="str">
        <f aca="false">IF(OR(AI388="",AC388=""),"",IFERROR((AI388-AC388)/AI388,""))</f>
        <v/>
      </c>
      <c r="AK388" s="53" t="str">
        <f aca="false">IF(OR(AJ388="",AE388=""),"",AJ388-AE388)</f>
        <v/>
      </c>
      <c r="AL388" s="54" t="str">
        <f aca="false">IF(OR(AH388="",AF388=""),"",AH388-AF388)</f>
        <v/>
      </c>
      <c r="AM388" s="55" t="str">
        <f aca="false">IF(OR(A388="",K388&lt;&gt;"SI"),"",IF(AE388="","Sin objetivo",IF(AJ388="","Faltan datos",IF(AJ388&lt;0,"PÉRDIDA",IF(AK388&lt;-UMB_CRITICO,"MUY POR DEBAJO",IF(AK388&lt;-UMB_BAJO,"POR DEBAJO",IF(AK388&lt;-UMB_AJUSTADO,"AJUSTADO",IF(AK388&lt;=UMB_ALTO,"EN OBJETIVO","POR ENCIMA"))))))))</f>
        <v/>
      </c>
      <c r="AN388" s="44"/>
      <c r="AO388" s="44"/>
      <c r="AP388" s="46"/>
      <c r="AQ388" s="46"/>
      <c r="AR388" s="46"/>
      <c r="AS388" s="44"/>
      <c r="AT388" s="44"/>
      <c r="AU388" s="44"/>
      <c r="AV388" s="44"/>
      <c r="AW388" s="44"/>
      <c r="AX388" s="45"/>
      <c r="AY388" s="44"/>
      <c r="AZ388" s="56"/>
      <c r="BA388" s="45"/>
    </row>
    <row r="389" customFormat="false" ht="15" hidden="false" customHeight="false" outlineLevel="0" collapsed="false">
      <c r="A389" s="44"/>
      <c r="B389" s="44"/>
      <c r="C389" s="45"/>
      <c r="D389" s="45"/>
      <c r="E389" s="44"/>
      <c r="F389" s="44"/>
      <c r="G389" s="44"/>
      <c r="H389" s="44"/>
      <c r="I389" s="44"/>
      <c r="J389" s="44"/>
      <c r="K389" s="44"/>
      <c r="L389" s="44"/>
      <c r="M389" s="44"/>
      <c r="N389" s="44"/>
      <c r="O389" s="46"/>
      <c r="P389" s="44"/>
      <c r="Q389" s="46"/>
      <c r="R389" s="44"/>
      <c r="S389" s="45"/>
      <c r="T389" s="44"/>
      <c r="U389" s="44"/>
      <c r="V389" s="47"/>
      <c r="W389" s="48" t="str">
        <f aca="false">IF(V389="","",IFERROR(V389/O389,""))</f>
        <v/>
      </c>
      <c r="X389" s="44"/>
      <c r="Y389" s="46"/>
      <c r="Z389" s="49"/>
      <c r="AA389" s="44"/>
      <c r="AB389" s="50" t="str">
        <f aca="false">IFERROR(INDEX(TABLA_IVA!$C$3:$C$6,MATCH(AA389,TABLA_IVA!$A$3:$A$6,0)),"")</f>
        <v/>
      </c>
      <c r="AC389" s="47"/>
      <c r="AD389" s="44"/>
      <c r="AE389" s="51"/>
      <c r="AF389" s="52" t="str">
        <f aca="false">IF(OR(AC389="",AE389="",AB389=""),"",IFERROR(AC389/(1-AE389)*(1+AB389),""))</f>
        <v/>
      </c>
      <c r="AG389" s="47"/>
      <c r="AH389" s="52" t="str">
        <f aca="false">IF(AD389="FIJO",IF(AG389="","",AG389),IF(AF389&lt;&gt;"",AF389,IF(AG389="","",AG389)))</f>
        <v/>
      </c>
      <c r="AI389" s="52" t="str">
        <f aca="false">IF(OR(AH389="",AB389=""),"",IFERROR(AH389/(1+AB389),""))</f>
        <v/>
      </c>
      <c r="AJ389" s="50" t="str">
        <f aca="false">IF(OR(AI389="",AC389=""),"",IFERROR((AI389-AC389)/AI389,""))</f>
        <v/>
      </c>
      <c r="AK389" s="53" t="str">
        <f aca="false">IF(OR(AJ389="",AE389=""),"",AJ389-AE389)</f>
        <v/>
      </c>
      <c r="AL389" s="54" t="str">
        <f aca="false">IF(OR(AH389="",AF389=""),"",AH389-AF389)</f>
        <v/>
      </c>
      <c r="AM389" s="55" t="str">
        <f aca="false">IF(OR(A389="",K389&lt;&gt;"SI"),"",IF(AE389="","Sin objetivo",IF(AJ389="","Faltan datos",IF(AJ389&lt;0,"PÉRDIDA",IF(AK389&lt;-UMB_CRITICO,"MUY POR DEBAJO",IF(AK389&lt;-UMB_BAJO,"POR DEBAJO",IF(AK389&lt;-UMB_AJUSTADO,"AJUSTADO",IF(AK389&lt;=UMB_ALTO,"EN OBJETIVO","POR ENCIMA"))))))))</f>
        <v/>
      </c>
      <c r="AN389" s="44"/>
      <c r="AO389" s="44"/>
      <c r="AP389" s="46"/>
      <c r="AQ389" s="46"/>
      <c r="AR389" s="46"/>
      <c r="AS389" s="44"/>
      <c r="AT389" s="44"/>
      <c r="AU389" s="44"/>
      <c r="AV389" s="44"/>
      <c r="AW389" s="44"/>
      <c r="AX389" s="45"/>
      <c r="AY389" s="44"/>
      <c r="AZ389" s="56"/>
      <c r="BA389" s="45"/>
    </row>
    <row r="390" customFormat="false" ht="15" hidden="false" customHeight="false" outlineLevel="0" collapsed="false">
      <c r="A390" s="44"/>
      <c r="B390" s="44"/>
      <c r="C390" s="45"/>
      <c r="D390" s="45"/>
      <c r="E390" s="44"/>
      <c r="F390" s="44"/>
      <c r="G390" s="44"/>
      <c r="H390" s="44"/>
      <c r="I390" s="44"/>
      <c r="J390" s="44"/>
      <c r="K390" s="44"/>
      <c r="L390" s="44"/>
      <c r="M390" s="44"/>
      <c r="N390" s="44"/>
      <c r="O390" s="46"/>
      <c r="P390" s="44"/>
      <c r="Q390" s="46"/>
      <c r="R390" s="44"/>
      <c r="S390" s="45"/>
      <c r="T390" s="44"/>
      <c r="U390" s="44"/>
      <c r="V390" s="47"/>
      <c r="W390" s="48" t="str">
        <f aca="false">IF(V390="","",IFERROR(V390/O390,""))</f>
        <v/>
      </c>
      <c r="X390" s="44"/>
      <c r="Y390" s="46"/>
      <c r="Z390" s="49"/>
      <c r="AA390" s="44"/>
      <c r="AB390" s="50" t="str">
        <f aca="false">IFERROR(INDEX(TABLA_IVA!$C$3:$C$6,MATCH(AA390,TABLA_IVA!$A$3:$A$6,0)),"")</f>
        <v/>
      </c>
      <c r="AC390" s="47"/>
      <c r="AD390" s="44"/>
      <c r="AE390" s="51"/>
      <c r="AF390" s="52" t="str">
        <f aca="false">IF(OR(AC390="",AE390="",AB390=""),"",IFERROR(AC390/(1-AE390)*(1+AB390),""))</f>
        <v/>
      </c>
      <c r="AG390" s="47"/>
      <c r="AH390" s="52" t="str">
        <f aca="false">IF(AD390="FIJO",IF(AG390="","",AG390),IF(AF390&lt;&gt;"",AF390,IF(AG390="","",AG390)))</f>
        <v/>
      </c>
      <c r="AI390" s="52" t="str">
        <f aca="false">IF(OR(AH390="",AB390=""),"",IFERROR(AH390/(1+AB390),""))</f>
        <v/>
      </c>
      <c r="AJ390" s="50" t="str">
        <f aca="false">IF(OR(AI390="",AC390=""),"",IFERROR((AI390-AC390)/AI390,""))</f>
        <v/>
      </c>
      <c r="AK390" s="53" t="str">
        <f aca="false">IF(OR(AJ390="",AE390=""),"",AJ390-AE390)</f>
        <v/>
      </c>
      <c r="AL390" s="54" t="str">
        <f aca="false">IF(OR(AH390="",AF390=""),"",AH390-AF390)</f>
        <v/>
      </c>
      <c r="AM390" s="55" t="str">
        <f aca="false">IF(OR(A390="",K390&lt;&gt;"SI"),"",IF(AE390="","Sin objetivo",IF(AJ390="","Faltan datos",IF(AJ390&lt;0,"PÉRDIDA",IF(AK390&lt;-UMB_CRITICO,"MUY POR DEBAJO",IF(AK390&lt;-UMB_BAJO,"POR DEBAJO",IF(AK390&lt;-UMB_AJUSTADO,"AJUSTADO",IF(AK390&lt;=UMB_ALTO,"EN OBJETIVO","POR ENCIMA"))))))))</f>
        <v/>
      </c>
      <c r="AN390" s="44"/>
      <c r="AO390" s="44"/>
      <c r="AP390" s="46"/>
      <c r="AQ390" s="46"/>
      <c r="AR390" s="46"/>
      <c r="AS390" s="44"/>
      <c r="AT390" s="44"/>
      <c r="AU390" s="44"/>
      <c r="AV390" s="44"/>
      <c r="AW390" s="44"/>
      <c r="AX390" s="45"/>
      <c r="AY390" s="44"/>
      <c r="AZ390" s="56"/>
      <c r="BA390" s="45"/>
    </row>
    <row r="391" customFormat="false" ht="15" hidden="false" customHeight="false" outlineLevel="0" collapsed="false">
      <c r="A391" s="44"/>
      <c r="B391" s="44"/>
      <c r="C391" s="45"/>
      <c r="D391" s="45"/>
      <c r="E391" s="44"/>
      <c r="F391" s="44"/>
      <c r="G391" s="44"/>
      <c r="H391" s="44"/>
      <c r="I391" s="44"/>
      <c r="J391" s="44"/>
      <c r="K391" s="44"/>
      <c r="L391" s="44"/>
      <c r="M391" s="44"/>
      <c r="N391" s="44"/>
      <c r="O391" s="46"/>
      <c r="P391" s="44"/>
      <c r="Q391" s="46"/>
      <c r="R391" s="44"/>
      <c r="S391" s="45"/>
      <c r="T391" s="44"/>
      <c r="U391" s="44"/>
      <c r="V391" s="47"/>
      <c r="W391" s="48" t="str">
        <f aca="false">IF(V391="","",IFERROR(V391/O391,""))</f>
        <v/>
      </c>
      <c r="X391" s="44"/>
      <c r="Y391" s="46"/>
      <c r="Z391" s="49"/>
      <c r="AA391" s="44"/>
      <c r="AB391" s="50" t="str">
        <f aca="false">IFERROR(INDEX(TABLA_IVA!$C$3:$C$6,MATCH(AA391,TABLA_IVA!$A$3:$A$6,0)),"")</f>
        <v/>
      </c>
      <c r="AC391" s="47"/>
      <c r="AD391" s="44"/>
      <c r="AE391" s="51"/>
      <c r="AF391" s="52" t="str">
        <f aca="false">IF(OR(AC391="",AE391="",AB391=""),"",IFERROR(AC391/(1-AE391)*(1+AB391),""))</f>
        <v/>
      </c>
      <c r="AG391" s="47"/>
      <c r="AH391" s="52" t="str">
        <f aca="false">IF(AD391="FIJO",IF(AG391="","",AG391),IF(AF391&lt;&gt;"",AF391,IF(AG391="","",AG391)))</f>
        <v/>
      </c>
      <c r="AI391" s="52" t="str">
        <f aca="false">IF(OR(AH391="",AB391=""),"",IFERROR(AH391/(1+AB391),""))</f>
        <v/>
      </c>
      <c r="AJ391" s="50" t="str">
        <f aca="false">IF(OR(AI391="",AC391=""),"",IFERROR((AI391-AC391)/AI391,""))</f>
        <v/>
      </c>
      <c r="AK391" s="53" t="str">
        <f aca="false">IF(OR(AJ391="",AE391=""),"",AJ391-AE391)</f>
        <v/>
      </c>
      <c r="AL391" s="54" t="str">
        <f aca="false">IF(OR(AH391="",AF391=""),"",AH391-AF391)</f>
        <v/>
      </c>
      <c r="AM391" s="55" t="str">
        <f aca="false">IF(OR(A391="",K391&lt;&gt;"SI"),"",IF(AE391="","Sin objetivo",IF(AJ391="","Faltan datos",IF(AJ391&lt;0,"PÉRDIDA",IF(AK391&lt;-UMB_CRITICO,"MUY POR DEBAJO",IF(AK391&lt;-UMB_BAJO,"POR DEBAJO",IF(AK391&lt;-UMB_AJUSTADO,"AJUSTADO",IF(AK391&lt;=UMB_ALTO,"EN OBJETIVO","POR ENCIMA"))))))))</f>
        <v/>
      </c>
      <c r="AN391" s="44"/>
      <c r="AO391" s="44"/>
      <c r="AP391" s="46"/>
      <c r="AQ391" s="46"/>
      <c r="AR391" s="46"/>
      <c r="AS391" s="44"/>
      <c r="AT391" s="44"/>
      <c r="AU391" s="44"/>
      <c r="AV391" s="44"/>
      <c r="AW391" s="44"/>
      <c r="AX391" s="45"/>
      <c r="AY391" s="44"/>
      <c r="AZ391" s="56"/>
      <c r="BA391" s="45"/>
    </row>
    <row r="392" customFormat="false" ht="15" hidden="false" customHeight="false" outlineLevel="0" collapsed="false">
      <c r="A392" s="44"/>
      <c r="B392" s="44"/>
      <c r="C392" s="45"/>
      <c r="D392" s="45"/>
      <c r="E392" s="44"/>
      <c r="F392" s="44"/>
      <c r="G392" s="44"/>
      <c r="H392" s="44"/>
      <c r="I392" s="44"/>
      <c r="J392" s="44"/>
      <c r="K392" s="44"/>
      <c r="L392" s="44"/>
      <c r="M392" s="44"/>
      <c r="N392" s="44"/>
      <c r="O392" s="46"/>
      <c r="P392" s="44"/>
      <c r="Q392" s="46"/>
      <c r="R392" s="44"/>
      <c r="S392" s="45"/>
      <c r="T392" s="44"/>
      <c r="U392" s="44"/>
      <c r="V392" s="47"/>
      <c r="W392" s="48" t="str">
        <f aca="false">IF(V392="","",IFERROR(V392/O392,""))</f>
        <v/>
      </c>
      <c r="X392" s="44"/>
      <c r="Y392" s="46"/>
      <c r="Z392" s="49"/>
      <c r="AA392" s="44"/>
      <c r="AB392" s="50" t="str">
        <f aca="false">IFERROR(INDEX(TABLA_IVA!$C$3:$C$6,MATCH(AA392,TABLA_IVA!$A$3:$A$6,0)),"")</f>
        <v/>
      </c>
      <c r="AC392" s="47"/>
      <c r="AD392" s="44"/>
      <c r="AE392" s="51"/>
      <c r="AF392" s="52" t="str">
        <f aca="false">IF(OR(AC392="",AE392="",AB392=""),"",IFERROR(AC392/(1-AE392)*(1+AB392),""))</f>
        <v/>
      </c>
      <c r="AG392" s="47"/>
      <c r="AH392" s="52" t="str">
        <f aca="false">IF(AD392="FIJO",IF(AG392="","",AG392),IF(AF392&lt;&gt;"",AF392,IF(AG392="","",AG392)))</f>
        <v/>
      </c>
      <c r="AI392" s="52" t="str">
        <f aca="false">IF(OR(AH392="",AB392=""),"",IFERROR(AH392/(1+AB392),""))</f>
        <v/>
      </c>
      <c r="AJ392" s="50" t="str">
        <f aca="false">IF(OR(AI392="",AC392=""),"",IFERROR((AI392-AC392)/AI392,""))</f>
        <v/>
      </c>
      <c r="AK392" s="53" t="str">
        <f aca="false">IF(OR(AJ392="",AE392=""),"",AJ392-AE392)</f>
        <v/>
      </c>
      <c r="AL392" s="54" t="str">
        <f aca="false">IF(OR(AH392="",AF392=""),"",AH392-AF392)</f>
        <v/>
      </c>
      <c r="AM392" s="55" t="str">
        <f aca="false">IF(OR(A392="",K392&lt;&gt;"SI"),"",IF(AE392="","Sin objetivo",IF(AJ392="","Faltan datos",IF(AJ392&lt;0,"PÉRDIDA",IF(AK392&lt;-UMB_CRITICO,"MUY POR DEBAJO",IF(AK392&lt;-UMB_BAJO,"POR DEBAJO",IF(AK392&lt;-UMB_AJUSTADO,"AJUSTADO",IF(AK392&lt;=UMB_ALTO,"EN OBJETIVO","POR ENCIMA"))))))))</f>
        <v/>
      </c>
      <c r="AN392" s="44"/>
      <c r="AO392" s="44"/>
      <c r="AP392" s="46"/>
      <c r="AQ392" s="46"/>
      <c r="AR392" s="46"/>
      <c r="AS392" s="44"/>
      <c r="AT392" s="44"/>
      <c r="AU392" s="44"/>
      <c r="AV392" s="44"/>
      <c r="AW392" s="44"/>
      <c r="AX392" s="45"/>
      <c r="AY392" s="44"/>
      <c r="AZ392" s="56"/>
      <c r="BA392" s="45"/>
    </row>
    <row r="393" customFormat="false" ht="15" hidden="false" customHeight="false" outlineLevel="0" collapsed="false">
      <c r="A393" s="44"/>
      <c r="B393" s="44"/>
      <c r="C393" s="45"/>
      <c r="D393" s="45"/>
      <c r="E393" s="44"/>
      <c r="F393" s="44"/>
      <c r="G393" s="44"/>
      <c r="H393" s="44"/>
      <c r="I393" s="44"/>
      <c r="J393" s="44"/>
      <c r="K393" s="44"/>
      <c r="L393" s="44"/>
      <c r="M393" s="44"/>
      <c r="N393" s="44"/>
      <c r="O393" s="46"/>
      <c r="P393" s="44"/>
      <c r="Q393" s="46"/>
      <c r="R393" s="44"/>
      <c r="S393" s="45"/>
      <c r="T393" s="44"/>
      <c r="U393" s="44"/>
      <c r="V393" s="47"/>
      <c r="W393" s="48" t="str">
        <f aca="false">IF(V393="","",IFERROR(V393/O393,""))</f>
        <v/>
      </c>
      <c r="X393" s="44"/>
      <c r="Y393" s="46"/>
      <c r="Z393" s="49"/>
      <c r="AA393" s="44"/>
      <c r="AB393" s="50" t="str">
        <f aca="false">IFERROR(INDEX(TABLA_IVA!$C$3:$C$6,MATCH(AA393,TABLA_IVA!$A$3:$A$6,0)),"")</f>
        <v/>
      </c>
      <c r="AC393" s="47"/>
      <c r="AD393" s="44"/>
      <c r="AE393" s="51"/>
      <c r="AF393" s="52" t="str">
        <f aca="false">IF(OR(AC393="",AE393="",AB393=""),"",IFERROR(AC393/(1-AE393)*(1+AB393),""))</f>
        <v/>
      </c>
      <c r="AG393" s="47"/>
      <c r="AH393" s="52" t="str">
        <f aca="false">IF(AD393="FIJO",IF(AG393="","",AG393),IF(AF393&lt;&gt;"",AF393,IF(AG393="","",AG393)))</f>
        <v/>
      </c>
      <c r="AI393" s="52" t="str">
        <f aca="false">IF(OR(AH393="",AB393=""),"",IFERROR(AH393/(1+AB393),""))</f>
        <v/>
      </c>
      <c r="AJ393" s="50" t="str">
        <f aca="false">IF(OR(AI393="",AC393=""),"",IFERROR((AI393-AC393)/AI393,""))</f>
        <v/>
      </c>
      <c r="AK393" s="53" t="str">
        <f aca="false">IF(OR(AJ393="",AE393=""),"",AJ393-AE393)</f>
        <v/>
      </c>
      <c r="AL393" s="54" t="str">
        <f aca="false">IF(OR(AH393="",AF393=""),"",AH393-AF393)</f>
        <v/>
      </c>
      <c r="AM393" s="55" t="str">
        <f aca="false">IF(OR(A393="",K393&lt;&gt;"SI"),"",IF(AE393="","Sin objetivo",IF(AJ393="","Faltan datos",IF(AJ393&lt;0,"PÉRDIDA",IF(AK393&lt;-UMB_CRITICO,"MUY POR DEBAJO",IF(AK393&lt;-UMB_BAJO,"POR DEBAJO",IF(AK393&lt;-UMB_AJUSTADO,"AJUSTADO",IF(AK393&lt;=UMB_ALTO,"EN OBJETIVO","POR ENCIMA"))))))))</f>
        <v/>
      </c>
      <c r="AN393" s="44"/>
      <c r="AO393" s="44"/>
      <c r="AP393" s="46"/>
      <c r="AQ393" s="46"/>
      <c r="AR393" s="46"/>
      <c r="AS393" s="44"/>
      <c r="AT393" s="44"/>
      <c r="AU393" s="44"/>
      <c r="AV393" s="44"/>
      <c r="AW393" s="44"/>
      <c r="AX393" s="45"/>
      <c r="AY393" s="44"/>
      <c r="AZ393" s="56"/>
      <c r="BA393" s="45"/>
    </row>
    <row r="394" customFormat="false" ht="15" hidden="false" customHeight="false" outlineLevel="0" collapsed="false">
      <c r="A394" s="44"/>
      <c r="B394" s="44"/>
      <c r="C394" s="45"/>
      <c r="D394" s="45"/>
      <c r="E394" s="44"/>
      <c r="F394" s="44"/>
      <c r="G394" s="44"/>
      <c r="H394" s="44"/>
      <c r="I394" s="44"/>
      <c r="J394" s="44"/>
      <c r="K394" s="44"/>
      <c r="L394" s="44"/>
      <c r="M394" s="44"/>
      <c r="N394" s="44"/>
      <c r="O394" s="46"/>
      <c r="P394" s="44"/>
      <c r="Q394" s="46"/>
      <c r="R394" s="44"/>
      <c r="S394" s="45"/>
      <c r="T394" s="44"/>
      <c r="U394" s="44"/>
      <c r="V394" s="47"/>
      <c r="W394" s="48" t="str">
        <f aca="false">IF(V394="","",IFERROR(V394/O394,""))</f>
        <v/>
      </c>
      <c r="X394" s="44"/>
      <c r="Y394" s="46"/>
      <c r="Z394" s="49"/>
      <c r="AA394" s="44"/>
      <c r="AB394" s="50" t="str">
        <f aca="false">IFERROR(INDEX(TABLA_IVA!$C$3:$C$6,MATCH(AA394,TABLA_IVA!$A$3:$A$6,0)),"")</f>
        <v/>
      </c>
      <c r="AC394" s="47"/>
      <c r="AD394" s="44"/>
      <c r="AE394" s="51"/>
      <c r="AF394" s="52" t="str">
        <f aca="false">IF(OR(AC394="",AE394="",AB394=""),"",IFERROR(AC394/(1-AE394)*(1+AB394),""))</f>
        <v/>
      </c>
      <c r="AG394" s="47"/>
      <c r="AH394" s="52" t="str">
        <f aca="false">IF(AD394="FIJO",IF(AG394="","",AG394),IF(AF394&lt;&gt;"",AF394,IF(AG394="","",AG394)))</f>
        <v/>
      </c>
      <c r="AI394" s="52" t="str">
        <f aca="false">IF(OR(AH394="",AB394=""),"",IFERROR(AH394/(1+AB394),""))</f>
        <v/>
      </c>
      <c r="AJ394" s="50" t="str">
        <f aca="false">IF(OR(AI394="",AC394=""),"",IFERROR((AI394-AC394)/AI394,""))</f>
        <v/>
      </c>
      <c r="AK394" s="53" t="str">
        <f aca="false">IF(OR(AJ394="",AE394=""),"",AJ394-AE394)</f>
        <v/>
      </c>
      <c r="AL394" s="54" t="str">
        <f aca="false">IF(OR(AH394="",AF394=""),"",AH394-AF394)</f>
        <v/>
      </c>
      <c r="AM394" s="55" t="str">
        <f aca="false">IF(OR(A394="",K394&lt;&gt;"SI"),"",IF(AE394="","Sin objetivo",IF(AJ394="","Faltan datos",IF(AJ394&lt;0,"PÉRDIDA",IF(AK394&lt;-UMB_CRITICO,"MUY POR DEBAJO",IF(AK394&lt;-UMB_BAJO,"POR DEBAJO",IF(AK394&lt;-UMB_AJUSTADO,"AJUSTADO",IF(AK394&lt;=UMB_ALTO,"EN OBJETIVO","POR ENCIMA"))))))))</f>
        <v/>
      </c>
      <c r="AN394" s="44"/>
      <c r="AO394" s="44"/>
      <c r="AP394" s="46"/>
      <c r="AQ394" s="46"/>
      <c r="AR394" s="46"/>
      <c r="AS394" s="44"/>
      <c r="AT394" s="44"/>
      <c r="AU394" s="44"/>
      <c r="AV394" s="44"/>
      <c r="AW394" s="44"/>
      <c r="AX394" s="45"/>
      <c r="AY394" s="44"/>
      <c r="AZ394" s="56"/>
      <c r="BA394" s="45"/>
    </row>
    <row r="395" customFormat="false" ht="15" hidden="false" customHeight="false" outlineLevel="0" collapsed="false">
      <c r="A395" s="44"/>
      <c r="B395" s="44"/>
      <c r="C395" s="45"/>
      <c r="D395" s="45"/>
      <c r="E395" s="44"/>
      <c r="F395" s="44"/>
      <c r="G395" s="44"/>
      <c r="H395" s="44"/>
      <c r="I395" s="44"/>
      <c r="J395" s="44"/>
      <c r="K395" s="44"/>
      <c r="L395" s="44"/>
      <c r="M395" s="44"/>
      <c r="N395" s="44"/>
      <c r="O395" s="46"/>
      <c r="P395" s="44"/>
      <c r="Q395" s="46"/>
      <c r="R395" s="44"/>
      <c r="S395" s="45"/>
      <c r="T395" s="44"/>
      <c r="U395" s="44"/>
      <c r="V395" s="47"/>
      <c r="W395" s="48" t="str">
        <f aca="false">IF(V395="","",IFERROR(V395/O395,""))</f>
        <v/>
      </c>
      <c r="X395" s="44"/>
      <c r="Y395" s="46"/>
      <c r="Z395" s="49"/>
      <c r="AA395" s="44"/>
      <c r="AB395" s="50" t="str">
        <f aca="false">IFERROR(INDEX(TABLA_IVA!$C$3:$C$6,MATCH(AA395,TABLA_IVA!$A$3:$A$6,0)),"")</f>
        <v/>
      </c>
      <c r="AC395" s="47"/>
      <c r="AD395" s="44"/>
      <c r="AE395" s="51"/>
      <c r="AF395" s="52" t="str">
        <f aca="false">IF(OR(AC395="",AE395="",AB395=""),"",IFERROR(AC395/(1-AE395)*(1+AB395),""))</f>
        <v/>
      </c>
      <c r="AG395" s="47"/>
      <c r="AH395" s="52" t="str">
        <f aca="false">IF(AD395="FIJO",IF(AG395="","",AG395),IF(AF395&lt;&gt;"",AF395,IF(AG395="","",AG395)))</f>
        <v/>
      </c>
      <c r="AI395" s="52" t="str">
        <f aca="false">IF(OR(AH395="",AB395=""),"",IFERROR(AH395/(1+AB395),""))</f>
        <v/>
      </c>
      <c r="AJ395" s="50" t="str">
        <f aca="false">IF(OR(AI395="",AC395=""),"",IFERROR((AI395-AC395)/AI395,""))</f>
        <v/>
      </c>
      <c r="AK395" s="53" t="str">
        <f aca="false">IF(OR(AJ395="",AE395=""),"",AJ395-AE395)</f>
        <v/>
      </c>
      <c r="AL395" s="54" t="str">
        <f aca="false">IF(OR(AH395="",AF395=""),"",AH395-AF395)</f>
        <v/>
      </c>
      <c r="AM395" s="55" t="str">
        <f aca="false">IF(OR(A395="",K395&lt;&gt;"SI"),"",IF(AE395="","Sin objetivo",IF(AJ395="","Faltan datos",IF(AJ395&lt;0,"PÉRDIDA",IF(AK395&lt;-UMB_CRITICO,"MUY POR DEBAJO",IF(AK395&lt;-UMB_BAJO,"POR DEBAJO",IF(AK395&lt;-UMB_AJUSTADO,"AJUSTADO",IF(AK395&lt;=UMB_ALTO,"EN OBJETIVO","POR ENCIMA"))))))))</f>
        <v/>
      </c>
      <c r="AN395" s="44"/>
      <c r="AO395" s="44"/>
      <c r="AP395" s="46"/>
      <c r="AQ395" s="46"/>
      <c r="AR395" s="46"/>
      <c r="AS395" s="44"/>
      <c r="AT395" s="44"/>
      <c r="AU395" s="44"/>
      <c r="AV395" s="44"/>
      <c r="AW395" s="44"/>
      <c r="AX395" s="45"/>
      <c r="AY395" s="44"/>
      <c r="AZ395" s="56"/>
      <c r="BA395" s="45"/>
    </row>
    <row r="396" customFormat="false" ht="15" hidden="false" customHeight="false" outlineLevel="0" collapsed="false">
      <c r="A396" s="44"/>
      <c r="B396" s="44"/>
      <c r="C396" s="45"/>
      <c r="D396" s="45"/>
      <c r="E396" s="44"/>
      <c r="F396" s="44"/>
      <c r="G396" s="44"/>
      <c r="H396" s="44"/>
      <c r="I396" s="44"/>
      <c r="J396" s="44"/>
      <c r="K396" s="44"/>
      <c r="L396" s="44"/>
      <c r="M396" s="44"/>
      <c r="N396" s="44"/>
      <c r="O396" s="46"/>
      <c r="P396" s="44"/>
      <c r="Q396" s="46"/>
      <c r="R396" s="44"/>
      <c r="S396" s="45"/>
      <c r="T396" s="44"/>
      <c r="U396" s="44"/>
      <c r="V396" s="47"/>
      <c r="W396" s="48" t="str">
        <f aca="false">IF(V396="","",IFERROR(V396/O396,""))</f>
        <v/>
      </c>
      <c r="X396" s="44"/>
      <c r="Y396" s="46"/>
      <c r="Z396" s="49"/>
      <c r="AA396" s="44"/>
      <c r="AB396" s="50" t="str">
        <f aca="false">IFERROR(INDEX(TABLA_IVA!$C$3:$C$6,MATCH(AA396,TABLA_IVA!$A$3:$A$6,0)),"")</f>
        <v/>
      </c>
      <c r="AC396" s="47"/>
      <c r="AD396" s="44"/>
      <c r="AE396" s="51"/>
      <c r="AF396" s="52" t="str">
        <f aca="false">IF(OR(AC396="",AE396="",AB396=""),"",IFERROR(AC396/(1-AE396)*(1+AB396),""))</f>
        <v/>
      </c>
      <c r="AG396" s="47"/>
      <c r="AH396" s="52" t="str">
        <f aca="false">IF(AD396="FIJO",IF(AG396="","",AG396),IF(AF396&lt;&gt;"",AF396,IF(AG396="","",AG396)))</f>
        <v/>
      </c>
      <c r="AI396" s="52" t="str">
        <f aca="false">IF(OR(AH396="",AB396=""),"",IFERROR(AH396/(1+AB396),""))</f>
        <v/>
      </c>
      <c r="AJ396" s="50" t="str">
        <f aca="false">IF(OR(AI396="",AC396=""),"",IFERROR((AI396-AC396)/AI396,""))</f>
        <v/>
      </c>
      <c r="AK396" s="53" t="str">
        <f aca="false">IF(OR(AJ396="",AE396=""),"",AJ396-AE396)</f>
        <v/>
      </c>
      <c r="AL396" s="54" t="str">
        <f aca="false">IF(OR(AH396="",AF396=""),"",AH396-AF396)</f>
        <v/>
      </c>
      <c r="AM396" s="55" t="str">
        <f aca="false">IF(OR(A396="",K396&lt;&gt;"SI"),"",IF(AE396="","Sin objetivo",IF(AJ396="","Faltan datos",IF(AJ396&lt;0,"PÉRDIDA",IF(AK396&lt;-UMB_CRITICO,"MUY POR DEBAJO",IF(AK396&lt;-UMB_BAJO,"POR DEBAJO",IF(AK396&lt;-UMB_AJUSTADO,"AJUSTADO",IF(AK396&lt;=UMB_ALTO,"EN OBJETIVO","POR ENCIMA"))))))))</f>
        <v/>
      </c>
      <c r="AN396" s="44"/>
      <c r="AO396" s="44"/>
      <c r="AP396" s="46"/>
      <c r="AQ396" s="46"/>
      <c r="AR396" s="46"/>
      <c r="AS396" s="44"/>
      <c r="AT396" s="44"/>
      <c r="AU396" s="44"/>
      <c r="AV396" s="44"/>
      <c r="AW396" s="44"/>
      <c r="AX396" s="45"/>
      <c r="AY396" s="44"/>
      <c r="AZ396" s="56"/>
      <c r="BA396" s="45"/>
    </row>
    <row r="397" customFormat="false" ht="15" hidden="false" customHeight="false" outlineLevel="0" collapsed="false">
      <c r="A397" s="44"/>
      <c r="B397" s="44"/>
      <c r="C397" s="45"/>
      <c r="D397" s="45"/>
      <c r="E397" s="44"/>
      <c r="F397" s="44"/>
      <c r="G397" s="44"/>
      <c r="H397" s="44"/>
      <c r="I397" s="44"/>
      <c r="J397" s="44"/>
      <c r="K397" s="44"/>
      <c r="L397" s="44"/>
      <c r="M397" s="44"/>
      <c r="N397" s="44"/>
      <c r="O397" s="46"/>
      <c r="P397" s="44"/>
      <c r="Q397" s="46"/>
      <c r="R397" s="44"/>
      <c r="S397" s="45"/>
      <c r="T397" s="44"/>
      <c r="U397" s="44"/>
      <c r="V397" s="47"/>
      <c r="W397" s="48" t="str">
        <f aca="false">IF(V397="","",IFERROR(V397/O397,""))</f>
        <v/>
      </c>
      <c r="X397" s="44"/>
      <c r="Y397" s="46"/>
      <c r="Z397" s="49"/>
      <c r="AA397" s="44"/>
      <c r="AB397" s="50" t="str">
        <f aca="false">IFERROR(INDEX(TABLA_IVA!$C$3:$C$6,MATCH(AA397,TABLA_IVA!$A$3:$A$6,0)),"")</f>
        <v/>
      </c>
      <c r="AC397" s="47"/>
      <c r="AD397" s="44"/>
      <c r="AE397" s="51"/>
      <c r="AF397" s="52" t="str">
        <f aca="false">IF(OR(AC397="",AE397="",AB397=""),"",IFERROR(AC397/(1-AE397)*(1+AB397),""))</f>
        <v/>
      </c>
      <c r="AG397" s="47"/>
      <c r="AH397" s="52" t="str">
        <f aca="false">IF(AD397="FIJO",IF(AG397="","",AG397),IF(AF397&lt;&gt;"",AF397,IF(AG397="","",AG397)))</f>
        <v/>
      </c>
      <c r="AI397" s="52" t="str">
        <f aca="false">IF(OR(AH397="",AB397=""),"",IFERROR(AH397/(1+AB397),""))</f>
        <v/>
      </c>
      <c r="AJ397" s="50" t="str">
        <f aca="false">IF(OR(AI397="",AC397=""),"",IFERROR((AI397-AC397)/AI397,""))</f>
        <v/>
      </c>
      <c r="AK397" s="53" t="str">
        <f aca="false">IF(OR(AJ397="",AE397=""),"",AJ397-AE397)</f>
        <v/>
      </c>
      <c r="AL397" s="54" t="str">
        <f aca="false">IF(OR(AH397="",AF397=""),"",AH397-AF397)</f>
        <v/>
      </c>
      <c r="AM397" s="55" t="str">
        <f aca="false">IF(OR(A397="",K397&lt;&gt;"SI"),"",IF(AE397="","Sin objetivo",IF(AJ397="","Faltan datos",IF(AJ397&lt;0,"PÉRDIDA",IF(AK397&lt;-UMB_CRITICO,"MUY POR DEBAJO",IF(AK397&lt;-UMB_BAJO,"POR DEBAJO",IF(AK397&lt;-UMB_AJUSTADO,"AJUSTADO",IF(AK397&lt;=UMB_ALTO,"EN OBJETIVO","POR ENCIMA"))))))))</f>
        <v/>
      </c>
      <c r="AN397" s="44"/>
      <c r="AO397" s="44"/>
      <c r="AP397" s="46"/>
      <c r="AQ397" s="46"/>
      <c r="AR397" s="46"/>
      <c r="AS397" s="44"/>
      <c r="AT397" s="44"/>
      <c r="AU397" s="44"/>
      <c r="AV397" s="44"/>
      <c r="AW397" s="44"/>
      <c r="AX397" s="45"/>
      <c r="AY397" s="44"/>
      <c r="AZ397" s="56"/>
      <c r="BA397" s="45"/>
    </row>
    <row r="398" customFormat="false" ht="15" hidden="false" customHeight="false" outlineLevel="0" collapsed="false">
      <c r="A398" s="44"/>
      <c r="B398" s="44"/>
      <c r="C398" s="45"/>
      <c r="D398" s="45"/>
      <c r="E398" s="44"/>
      <c r="F398" s="44"/>
      <c r="G398" s="44"/>
      <c r="H398" s="44"/>
      <c r="I398" s="44"/>
      <c r="J398" s="44"/>
      <c r="K398" s="44"/>
      <c r="L398" s="44"/>
      <c r="M398" s="44"/>
      <c r="N398" s="44"/>
      <c r="O398" s="46"/>
      <c r="P398" s="44"/>
      <c r="Q398" s="46"/>
      <c r="R398" s="44"/>
      <c r="S398" s="45"/>
      <c r="T398" s="44"/>
      <c r="U398" s="44"/>
      <c r="V398" s="47"/>
      <c r="W398" s="48" t="str">
        <f aca="false">IF(V398="","",IFERROR(V398/O398,""))</f>
        <v/>
      </c>
      <c r="X398" s="44"/>
      <c r="Y398" s="46"/>
      <c r="Z398" s="49"/>
      <c r="AA398" s="44"/>
      <c r="AB398" s="50" t="str">
        <f aca="false">IFERROR(INDEX(TABLA_IVA!$C$3:$C$6,MATCH(AA398,TABLA_IVA!$A$3:$A$6,0)),"")</f>
        <v/>
      </c>
      <c r="AC398" s="47"/>
      <c r="AD398" s="44"/>
      <c r="AE398" s="51"/>
      <c r="AF398" s="52" t="str">
        <f aca="false">IF(OR(AC398="",AE398="",AB398=""),"",IFERROR(AC398/(1-AE398)*(1+AB398),""))</f>
        <v/>
      </c>
      <c r="AG398" s="47"/>
      <c r="AH398" s="52" t="str">
        <f aca="false">IF(AD398="FIJO",IF(AG398="","",AG398),IF(AF398&lt;&gt;"",AF398,IF(AG398="","",AG398)))</f>
        <v/>
      </c>
      <c r="AI398" s="52" t="str">
        <f aca="false">IF(OR(AH398="",AB398=""),"",IFERROR(AH398/(1+AB398),""))</f>
        <v/>
      </c>
      <c r="AJ398" s="50" t="str">
        <f aca="false">IF(OR(AI398="",AC398=""),"",IFERROR((AI398-AC398)/AI398,""))</f>
        <v/>
      </c>
      <c r="AK398" s="53" t="str">
        <f aca="false">IF(OR(AJ398="",AE398=""),"",AJ398-AE398)</f>
        <v/>
      </c>
      <c r="AL398" s="54" t="str">
        <f aca="false">IF(OR(AH398="",AF398=""),"",AH398-AF398)</f>
        <v/>
      </c>
      <c r="AM398" s="55" t="str">
        <f aca="false">IF(OR(A398="",K398&lt;&gt;"SI"),"",IF(AE398="","Sin objetivo",IF(AJ398="","Faltan datos",IF(AJ398&lt;0,"PÉRDIDA",IF(AK398&lt;-UMB_CRITICO,"MUY POR DEBAJO",IF(AK398&lt;-UMB_BAJO,"POR DEBAJO",IF(AK398&lt;-UMB_AJUSTADO,"AJUSTADO",IF(AK398&lt;=UMB_ALTO,"EN OBJETIVO","POR ENCIMA"))))))))</f>
        <v/>
      </c>
      <c r="AN398" s="44"/>
      <c r="AO398" s="44"/>
      <c r="AP398" s="46"/>
      <c r="AQ398" s="46"/>
      <c r="AR398" s="46"/>
      <c r="AS398" s="44"/>
      <c r="AT398" s="44"/>
      <c r="AU398" s="44"/>
      <c r="AV398" s="44"/>
      <c r="AW398" s="44"/>
      <c r="AX398" s="45"/>
      <c r="AY398" s="44"/>
      <c r="AZ398" s="56"/>
      <c r="BA398" s="45"/>
    </row>
    <row r="399" customFormat="false" ht="15" hidden="false" customHeight="false" outlineLevel="0" collapsed="false">
      <c r="A399" s="44"/>
      <c r="B399" s="44"/>
      <c r="C399" s="45"/>
      <c r="D399" s="45"/>
      <c r="E399" s="44"/>
      <c r="F399" s="44"/>
      <c r="G399" s="44"/>
      <c r="H399" s="44"/>
      <c r="I399" s="44"/>
      <c r="J399" s="44"/>
      <c r="K399" s="44"/>
      <c r="L399" s="44"/>
      <c r="M399" s="44"/>
      <c r="N399" s="44"/>
      <c r="O399" s="46"/>
      <c r="P399" s="44"/>
      <c r="Q399" s="46"/>
      <c r="R399" s="44"/>
      <c r="S399" s="45"/>
      <c r="T399" s="44"/>
      <c r="U399" s="44"/>
      <c r="V399" s="47"/>
      <c r="W399" s="48" t="str">
        <f aca="false">IF(V399="","",IFERROR(V399/O399,""))</f>
        <v/>
      </c>
      <c r="X399" s="44"/>
      <c r="Y399" s="46"/>
      <c r="Z399" s="49"/>
      <c r="AA399" s="44"/>
      <c r="AB399" s="50" t="str">
        <f aca="false">IFERROR(INDEX(TABLA_IVA!$C$3:$C$6,MATCH(AA399,TABLA_IVA!$A$3:$A$6,0)),"")</f>
        <v/>
      </c>
      <c r="AC399" s="47"/>
      <c r="AD399" s="44"/>
      <c r="AE399" s="51"/>
      <c r="AF399" s="52" t="str">
        <f aca="false">IF(OR(AC399="",AE399="",AB399=""),"",IFERROR(AC399/(1-AE399)*(1+AB399),""))</f>
        <v/>
      </c>
      <c r="AG399" s="47"/>
      <c r="AH399" s="52" t="str">
        <f aca="false">IF(AD399="FIJO",IF(AG399="","",AG399),IF(AF399&lt;&gt;"",AF399,IF(AG399="","",AG399)))</f>
        <v/>
      </c>
      <c r="AI399" s="52" t="str">
        <f aca="false">IF(OR(AH399="",AB399=""),"",IFERROR(AH399/(1+AB399),""))</f>
        <v/>
      </c>
      <c r="AJ399" s="50" t="str">
        <f aca="false">IF(OR(AI399="",AC399=""),"",IFERROR((AI399-AC399)/AI399,""))</f>
        <v/>
      </c>
      <c r="AK399" s="53" t="str">
        <f aca="false">IF(OR(AJ399="",AE399=""),"",AJ399-AE399)</f>
        <v/>
      </c>
      <c r="AL399" s="54" t="str">
        <f aca="false">IF(OR(AH399="",AF399=""),"",AH399-AF399)</f>
        <v/>
      </c>
      <c r="AM399" s="55" t="str">
        <f aca="false">IF(OR(A399="",K399&lt;&gt;"SI"),"",IF(AE399="","Sin objetivo",IF(AJ399="","Faltan datos",IF(AJ399&lt;0,"PÉRDIDA",IF(AK399&lt;-UMB_CRITICO,"MUY POR DEBAJO",IF(AK399&lt;-UMB_BAJO,"POR DEBAJO",IF(AK399&lt;-UMB_AJUSTADO,"AJUSTADO",IF(AK399&lt;=UMB_ALTO,"EN OBJETIVO","POR ENCIMA"))))))))</f>
        <v/>
      </c>
      <c r="AN399" s="44"/>
      <c r="AO399" s="44"/>
      <c r="AP399" s="46"/>
      <c r="AQ399" s="46"/>
      <c r="AR399" s="46"/>
      <c r="AS399" s="44"/>
      <c r="AT399" s="44"/>
      <c r="AU399" s="44"/>
      <c r="AV399" s="44"/>
      <c r="AW399" s="44"/>
      <c r="AX399" s="45"/>
      <c r="AY399" s="44"/>
      <c r="AZ399" s="56"/>
      <c r="BA399" s="45"/>
    </row>
    <row r="400" customFormat="false" ht="15" hidden="false" customHeight="false" outlineLevel="0" collapsed="false">
      <c r="A400" s="44"/>
      <c r="B400" s="44"/>
      <c r="C400" s="45"/>
      <c r="D400" s="45"/>
      <c r="E400" s="44"/>
      <c r="F400" s="44"/>
      <c r="G400" s="44"/>
      <c r="H400" s="44"/>
      <c r="I400" s="44"/>
      <c r="J400" s="44"/>
      <c r="K400" s="44"/>
      <c r="L400" s="44"/>
      <c r="M400" s="44"/>
      <c r="N400" s="44"/>
      <c r="O400" s="46"/>
      <c r="P400" s="44"/>
      <c r="Q400" s="46"/>
      <c r="R400" s="44"/>
      <c r="S400" s="45"/>
      <c r="T400" s="44"/>
      <c r="U400" s="44"/>
      <c r="V400" s="47"/>
      <c r="W400" s="48" t="str">
        <f aca="false">IF(V400="","",IFERROR(V400/O400,""))</f>
        <v/>
      </c>
      <c r="X400" s="44"/>
      <c r="Y400" s="46"/>
      <c r="Z400" s="49"/>
      <c r="AA400" s="44"/>
      <c r="AB400" s="50" t="str">
        <f aca="false">IFERROR(INDEX(TABLA_IVA!$C$3:$C$6,MATCH(AA400,TABLA_IVA!$A$3:$A$6,0)),"")</f>
        <v/>
      </c>
      <c r="AC400" s="47"/>
      <c r="AD400" s="44"/>
      <c r="AE400" s="51"/>
      <c r="AF400" s="52" t="str">
        <f aca="false">IF(OR(AC400="",AE400="",AB400=""),"",IFERROR(AC400/(1-AE400)*(1+AB400),""))</f>
        <v/>
      </c>
      <c r="AG400" s="47"/>
      <c r="AH400" s="52" t="str">
        <f aca="false">IF(AD400="FIJO",IF(AG400="","",AG400),IF(AF400&lt;&gt;"",AF400,IF(AG400="","",AG400)))</f>
        <v/>
      </c>
      <c r="AI400" s="52" t="str">
        <f aca="false">IF(OR(AH400="",AB400=""),"",IFERROR(AH400/(1+AB400),""))</f>
        <v/>
      </c>
      <c r="AJ400" s="50" t="str">
        <f aca="false">IF(OR(AI400="",AC400=""),"",IFERROR((AI400-AC400)/AI400,""))</f>
        <v/>
      </c>
      <c r="AK400" s="53" t="str">
        <f aca="false">IF(OR(AJ400="",AE400=""),"",AJ400-AE400)</f>
        <v/>
      </c>
      <c r="AL400" s="54" t="str">
        <f aca="false">IF(OR(AH400="",AF400=""),"",AH400-AF400)</f>
        <v/>
      </c>
      <c r="AM400" s="55" t="str">
        <f aca="false">IF(OR(A400="",K400&lt;&gt;"SI"),"",IF(AE400="","Sin objetivo",IF(AJ400="","Faltan datos",IF(AJ400&lt;0,"PÉRDIDA",IF(AK400&lt;-UMB_CRITICO,"MUY POR DEBAJO",IF(AK400&lt;-UMB_BAJO,"POR DEBAJO",IF(AK400&lt;-UMB_AJUSTADO,"AJUSTADO",IF(AK400&lt;=UMB_ALTO,"EN OBJETIVO","POR ENCIMA"))))))))</f>
        <v/>
      </c>
      <c r="AN400" s="44"/>
      <c r="AO400" s="44"/>
      <c r="AP400" s="46"/>
      <c r="AQ400" s="46"/>
      <c r="AR400" s="46"/>
      <c r="AS400" s="44"/>
      <c r="AT400" s="44"/>
      <c r="AU400" s="44"/>
      <c r="AV400" s="44"/>
      <c r="AW400" s="44"/>
      <c r="AX400" s="45"/>
      <c r="AY400" s="44"/>
      <c r="AZ400" s="56"/>
      <c r="BA400" s="45"/>
    </row>
    <row r="401" customFormat="false" ht="15" hidden="false" customHeight="false" outlineLevel="0" collapsed="false">
      <c r="A401" s="44"/>
      <c r="B401" s="44"/>
      <c r="C401" s="45"/>
      <c r="D401" s="45"/>
      <c r="E401" s="44"/>
      <c r="F401" s="44"/>
      <c r="G401" s="44"/>
      <c r="H401" s="44"/>
      <c r="I401" s="44"/>
      <c r="J401" s="44"/>
      <c r="K401" s="44"/>
      <c r="L401" s="44"/>
      <c r="M401" s="44"/>
      <c r="N401" s="44"/>
      <c r="O401" s="46"/>
      <c r="P401" s="44"/>
      <c r="Q401" s="46"/>
      <c r="R401" s="44"/>
      <c r="S401" s="45"/>
      <c r="T401" s="44"/>
      <c r="U401" s="44"/>
      <c r="V401" s="47"/>
      <c r="W401" s="48" t="str">
        <f aca="false">IF(V401="","",IFERROR(V401/O401,""))</f>
        <v/>
      </c>
      <c r="X401" s="44"/>
      <c r="Y401" s="46"/>
      <c r="Z401" s="49"/>
      <c r="AA401" s="44"/>
      <c r="AB401" s="50" t="str">
        <f aca="false">IFERROR(INDEX(TABLA_IVA!$C$3:$C$6,MATCH(AA401,TABLA_IVA!$A$3:$A$6,0)),"")</f>
        <v/>
      </c>
      <c r="AC401" s="47"/>
      <c r="AD401" s="44"/>
      <c r="AE401" s="51"/>
      <c r="AF401" s="52" t="str">
        <f aca="false">IF(OR(AC401="",AE401="",AB401=""),"",IFERROR(AC401/(1-AE401)*(1+AB401),""))</f>
        <v/>
      </c>
      <c r="AG401" s="47"/>
      <c r="AH401" s="52" t="str">
        <f aca="false">IF(AD401="FIJO",IF(AG401="","",AG401),IF(AF401&lt;&gt;"",AF401,IF(AG401="","",AG401)))</f>
        <v/>
      </c>
      <c r="AI401" s="52" t="str">
        <f aca="false">IF(OR(AH401="",AB401=""),"",IFERROR(AH401/(1+AB401),""))</f>
        <v/>
      </c>
      <c r="AJ401" s="50" t="str">
        <f aca="false">IF(OR(AI401="",AC401=""),"",IFERROR((AI401-AC401)/AI401,""))</f>
        <v/>
      </c>
      <c r="AK401" s="53" t="str">
        <f aca="false">IF(OR(AJ401="",AE401=""),"",AJ401-AE401)</f>
        <v/>
      </c>
      <c r="AL401" s="54" t="str">
        <f aca="false">IF(OR(AH401="",AF401=""),"",AH401-AF401)</f>
        <v/>
      </c>
      <c r="AM401" s="55" t="str">
        <f aca="false">IF(OR(A401="",K401&lt;&gt;"SI"),"",IF(AE401="","Sin objetivo",IF(AJ401="","Faltan datos",IF(AJ401&lt;0,"PÉRDIDA",IF(AK401&lt;-UMB_CRITICO,"MUY POR DEBAJO",IF(AK401&lt;-UMB_BAJO,"POR DEBAJO",IF(AK401&lt;-UMB_AJUSTADO,"AJUSTADO",IF(AK401&lt;=UMB_ALTO,"EN OBJETIVO","POR ENCIMA"))))))))</f>
        <v/>
      </c>
      <c r="AN401" s="44"/>
      <c r="AO401" s="44"/>
      <c r="AP401" s="46"/>
      <c r="AQ401" s="46"/>
      <c r="AR401" s="46"/>
      <c r="AS401" s="44"/>
      <c r="AT401" s="44"/>
      <c r="AU401" s="44"/>
      <c r="AV401" s="44"/>
      <c r="AW401" s="44"/>
      <c r="AX401" s="45"/>
      <c r="AY401" s="44"/>
      <c r="AZ401" s="56"/>
      <c r="BA401" s="45"/>
    </row>
    <row r="402" customFormat="false" ht="15" hidden="false" customHeight="false" outlineLevel="0" collapsed="false">
      <c r="A402" s="44"/>
      <c r="B402" s="44"/>
      <c r="C402" s="45"/>
      <c r="D402" s="45"/>
      <c r="E402" s="44"/>
      <c r="F402" s="44"/>
      <c r="G402" s="44"/>
      <c r="H402" s="44"/>
      <c r="I402" s="44"/>
      <c r="J402" s="44"/>
      <c r="K402" s="44"/>
      <c r="L402" s="44"/>
      <c r="M402" s="44"/>
      <c r="N402" s="44"/>
      <c r="O402" s="46"/>
      <c r="P402" s="44"/>
      <c r="Q402" s="46"/>
      <c r="R402" s="44"/>
      <c r="S402" s="45"/>
      <c r="T402" s="44"/>
      <c r="U402" s="44"/>
      <c r="V402" s="47"/>
      <c r="W402" s="48" t="str">
        <f aca="false">IF(V402="","",IFERROR(V402/O402,""))</f>
        <v/>
      </c>
      <c r="X402" s="44"/>
      <c r="Y402" s="46"/>
      <c r="Z402" s="49"/>
      <c r="AA402" s="44"/>
      <c r="AB402" s="50" t="str">
        <f aca="false">IFERROR(INDEX(TABLA_IVA!$C$3:$C$6,MATCH(AA402,TABLA_IVA!$A$3:$A$6,0)),"")</f>
        <v/>
      </c>
      <c r="AC402" s="47"/>
      <c r="AD402" s="44"/>
      <c r="AE402" s="51"/>
      <c r="AF402" s="52" t="str">
        <f aca="false">IF(OR(AC402="",AE402="",AB402=""),"",IFERROR(AC402/(1-AE402)*(1+AB402),""))</f>
        <v/>
      </c>
      <c r="AG402" s="47"/>
      <c r="AH402" s="52" t="str">
        <f aca="false">IF(AD402="FIJO",IF(AG402="","",AG402),IF(AF402&lt;&gt;"",AF402,IF(AG402="","",AG402)))</f>
        <v/>
      </c>
      <c r="AI402" s="52" t="str">
        <f aca="false">IF(OR(AH402="",AB402=""),"",IFERROR(AH402/(1+AB402),""))</f>
        <v/>
      </c>
      <c r="AJ402" s="50" t="str">
        <f aca="false">IF(OR(AI402="",AC402=""),"",IFERROR((AI402-AC402)/AI402,""))</f>
        <v/>
      </c>
      <c r="AK402" s="53" t="str">
        <f aca="false">IF(OR(AJ402="",AE402=""),"",AJ402-AE402)</f>
        <v/>
      </c>
      <c r="AL402" s="54" t="str">
        <f aca="false">IF(OR(AH402="",AF402=""),"",AH402-AF402)</f>
        <v/>
      </c>
      <c r="AM402" s="55" t="str">
        <f aca="false">IF(OR(A402="",K402&lt;&gt;"SI"),"",IF(AE402="","Sin objetivo",IF(AJ402="","Faltan datos",IF(AJ402&lt;0,"PÉRDIDA",IF(AK402&lt;-UMB_CRITICO,"MUY POR DEBAJO",IF(AK402&lt;-UMB_BAJO,"POR DEBAJO",IF(AK402&lt;-UMB_AJUSTADO,"AJUSTADO",IF(AK402&lt;=UMB_ALTO,"EN OBJETIVO","POR ENCIMA"))))))))</f>
        <v/>
      </c>
      <c r="AN402" s="44"/>
      <c r="AO402" s="44"/>
      <c r="AP402" s="46"/>
      <c r="AQ402" s="46"/>
      <c r="AR402" s="46"/>
      <c r="AS402" s="44"/>
      <c r="AT402" s="44"/>
      <c r="AU402" s="44"/>
      <c r="AV402" s="44"/>
      <c r="AW402" s="44"/>
      <c r="AX402" s="45"/>
      <c r="AY402" s="44"/>
      <c r="AZ402" s="56"/>
      <c r="BA402" s="45"/>
    </row>
    <row r="403" customFormat="false" ht="15" hidden="false" customHeight="false" outlineLevel="0" collapsed="false">
      <c r="A403" s="44"/>
      <c r="B403" s="44"/>
      <c r="C403" s="45"/>
      <c r="D403" s="45"/>
      <c r="E403" s="44"/>
      <c r="F403" s="44"/>
      <c r="G403" s="44"/>
      <c r="H403" s="44"/>
      <c r="I403" s="44"/>
      <c r="J403" s="44"/>
      <c r="K403" s="44"/>
      <c r="L403" s="44"/>
      <c r="M403" s="44"/>
      <c r="N403" s="44"/>
      <c r="O403" s="46"/>
      <c r="P403" s="44"/>
      <c r="Q403" s="46"/>
      <c r="R403" s="44"/>
      <c r="S403" s="45"/>
      <c r="T403" s="44"/>
      <c r="U403" s="44"/>
      <c r="V403" s="47"/>
      <c r="W403" s="48" t="str">
        <f aca="false">IF(V403="","",IFERROR(V403/O403,""))</f>
        <v/>
      </c>
      <c r="X403" s="44"/>
      <c r="Y403" s="46"/>
      <c r="Z403" s="49"/>
      <c r="AA403" s="44"/>
      <c r="AB403" s="50" t="str">
        <f aca="false">IFERROR(INDEX(TABLA_IVA!$C$3:$C$6,MATCH(AA403,TABLA_IVA!$A$3:$A$6,0)),"")</f>
        <v/>
      </c>
      <c r="AC403" s="47"/>
      <c r="AD403" s="44"/>
      <c r="AE403" s="51"/>
      <c r="AF403" s="52" t="str">
        <f aca="false">IF(OR(AC403="",AE403="",AB403=""),"",IFERROR(AC403/(1-AE403)*(1+AB403),""))</f>
        <v/>
      </c>
      <c r="AG403" s="47"/>
      <c r="AH403" s="52" t="str">
        <f aca="false">IF(AD403="FIJO",IF(AG403="","",AG403),IF(AF403&lt;&gt;"",AF403,IF(AG403="","",AG403)))</f>
        <v/>
      </c>
      <c r="AI403" s="52" t="str">
        <f aca="false">IF(OR(AH403="",AB403=""),"",IFERROR(AH403/(1+AB403),""))</f>
        <v/>
      </c>
      <c r="AJ403" s="50" t="str">
        <f aca="false">IF(OR(AI403="",AC403=""),"",IFERROR((AI403-AC403)/AI403,""))</f>
        <v/>
      </c>
      <c r="AK403" s="53" t="str">
        <f aca="false">IF(OR(AJ403="",AE403=""),"",AJ403-AE403)</f>
        <v/>
      </c>
      <c r="AL403" s="54" t="str">
        <f aca="false">IF(OR(AH403="",AF403=""),"",AH403-AF403)</f>
        <v/>
      </c>
      <c r="AM403" s="55" t="str">
        <f aca="false">IF(OR(A403="",K403&lt;&gt;"SI"),"",IF(AE403="","Sin objetivo",IF(AJ403="","Faltan datos",IF(AJ403&lt;0,"PÉRDIDA",IF(AK403&lt;-UMB_CRITICO,"MUY POR DEBAJO",IF(AK403&lt;-UMB_BAJO,"POR DEBAJO",IF(AK403&lt;-UMB_AJUSTADO,"AJUSTADO",IF(AK403&lt;=UMB_ALTO,"EN OBJETIVO","POR ENCIMA"))))))))</f>
        <v/>
      </c>
      <c r="AN403" s="44"/>
      <c r="AO403" s="44"/>
      <c r="AP403" s="46"/>
      <c r="AQ403" s="46"/>
      <c r="AR403" s="46"/>
      <c r="AS403" s="44"/>
      <c r="AT403" s="44"/>
      <c r="AU403" s="44"/>
      <c r="AV403" s="44"/>
      <c r="AW403" s="44"/>
      <c r="AX403" s="45"/>
      <c r="AY403" s="44"/>
      <c r="AZ403" s="56"/>
      <c r="BA403" s="45"/>
    </row>
    <row r="404" customFormat="false" ht="15" hidden="false" customHeight="false" outlineLevel="0" collapsed="false">
      <c r="A404" s="44"/>
      <c r="B404" s="44"/>
      <c r="C404" s="45"/>
      <c r="D404" s="45"/>
      <c r="E404" s="44"/>
      <c r="F404" s="44"/>
      <c r="G404" s="44"/>
      <c r="H404" s="44"/>
      <c r="I404" s="44"/>
      <c r="J404" s="44"/>
      <c r="K404" s="44"/>
      <c r="L404" s="44"/>
      <c r="M404" s="44"/>
      <c r="N404" s="44"/>
      <c r="O404" s="46"/>
      <c r="P404" s="44"/>
      <c r="Q404" s="46"/>
      <c r="R404" s="44"/>
      <c r="S404" s="45"/>
      <c r="T404" s="44"/>
      <c r="U404" s="44"/>
      <c r="V404" s="47"/>
      <c r="W404" s="48" t="str">
        <f aca="false">IF(V404="","",IFERROR(V404/O404,""))</f>
        <v/>
      </c>
      <c r="X404" s="44"/>
      <c r="Y404" s="46"/>
      <c r="Z404" s="49"/>
      <c r="AA404" s="44"/>
      <c r="AB404" s="50" t="str">
        <f aca="false">IFERROR(INDEX(TABLA_IVA!$C$3:$C$6,MATCH(AA404,TABLA_IVA!$A$3:$A$6,0)),"")</f>
        <v/>
      </c>
      <c r="AC404" s="47"/>
      <c r="AD404" s="44"/>
      <c r="AE404" s="51"/>
      <c r="AF404" s="52" t="str">
        <f aca="false">IF(OR(AC404="",AE404="",AB404=""),"",IFERROR(AC404/(1-AE404)*(1+AB404),""))</f>
        <v/>
      </c>
      <c r="AG404" s="47"/>
      <c r="AH404" s="52" t="str">
        <f aca="false">IF(AD404="FIJO",IF(AG404="","",AG404),IF(AF404&lt;&gt;"",AF404,IF(AG404="","",AG404)))</f>
        <v/>
      </c>
      <c r="AI404" s="52" t="str">
        <f aca="false">IF(OR(AH404="",AB404=""),"",IFERROR(AH404/(1+AB404),""))</f>
        <v/>
      </c>
      <c r="AJ404" s="50" t="str">
        <f aca="false">IF(OR(AI404="",AC404=""),"",IFERROR((AI404-AC404)/AI404,""))</f>
        <v/>
      </c>
      <c r="AK404" s="53" t="str">
        <f aca="false">IF(OR(AJ404="",AE404=""),"",AJ404-AE404)</f>
        <v/>
      </c>
      <c r="AL404" s="54" t="str">
        <f aca="false">IF(OR(AH404="",AF404=""),"",AH404-AF404)</f>
        <v/>
      </c>
      <c r="AM404" s="55" t="str">
        <f aca="false">IF(OR(A404="",K404&lt;&gt;"SI"),"",IF(AE404="","Sin objetivo",IF(AJ404="","Faltan datos",IF(AJ404&lt;0,"PÉRDIDA",IF(AK404&lt;-UMB_CRITICO,"MUY POR DEBAJO",IF(AK404&lt;-UMB_BAJO,"POR DEBAJO",IF(AK404&lt;-UMB_AJUSTADO,"AJUSTADO",IF(AK404&lt;=UMB_ALTO,"EN OBJETIVO","POR ENCIMA"))))))))</f>
        <v/>
      </c>
      <c r="AN404" s="44"/>
      <c r="AO404" s="44"/>
      <c r="AP404" s="46"/>
      <c r="AQ404" s="46"/>
      <c r="AR404" s="46"/>
      <c r="AS404" s="44"/>
      <c r="AT404" s="44"/>
      <c r="AU404" s="44"/>
      <c r="AV404" s="44"/>
      <c r="AW404" s="44"/>
      <c r="AX404" s="45"/>
      <c r="AY404" s="44"/>
      <c r="AZ404" s="56"/>
      <c r="BA404" s="45"/>
    </row>
    <row r="405" customFormat="false" ht="15" hidden="false" customHeight="false" outlineLevel="0" collapsed="false">
      <c r="A405" s="44"/>
      <c r="B405" s="44"/>
      <c r="C405" s="45"/>
      <c r="D405" s="45"/>
      <c r="E405" s="44"/>
      <c r="F405" s="44"/>
      <c r="G405" s="44"/>
      <c r="H405" s="44"/>
      <c r="I405" s="44"/>
      <c r="J405" s="44"/>
      <c r="K405" s="44"/>
      <c r="L405" s="44"/>
      <c r="M405" s="44"/>
      <c r="N405" s="44"/>
      <c r="O405" s="46"/>
      <c r="P405" s="44"/>
      <c r="Q405" s="46"/>
      <c r="R405" s="44"/>
      <c r="S405" s="45"/>
      <c r="T405" s="44"/>
      <c r="U405" s="44"/>
      <c r="V405" s="47"/>
      <c r="W405" s="48" t="str">
        <f aca="false">IF(V405="","",IFERROR(V405/O405,""))</f>
        <v/>
      </c>
      <c r="X405" s="44"/>
      <c r="Y405" s="46"/>
      <c r="Z405" s="49"/>
      <c r="AA405" s="44"/>
      <c r="AB405" s="50" t="str">
        <f aca="false">IFERROR(INDEX(TABLA_IVA!$C$3:$C$6,MATCH(AA405,TABLA_IVA!$A$3:$A$6,0)),"")</f>
        <v/>
      </c>
      <c r="AC405" s="47"/>
      <c r="AD405" s="44"/>
      <c r="AE405" s="51"/>
      <c r="AF405" s="52" t="str">
        <f aca="false">IF(OR(AC405="",AE405="",AB405=""),"",IFERROR(AC405/(1-AE405)*(1+AB405),""))</f>
        <v/>
      </c>
      <c r="AG405" s="47"/>
      <c r="AH405" s="52" t="str">
        <f aca="false">IF(AD405="FIJO",IF(AG405="","",AG405),IF(AF405&lt;&gt;"",AF405,IF(AG405="","",AG405)))</f>
        <v/>
      </c>
      <c r="AI405" s="52" t="str">
        <f aca="false">IF(OR(AH405="",AB405=""),"",IFERROR(AH405/(1+AB405),""))</f>
        <v/>
      </c>
      <c r="AJ405" s="50" t="str">
        <f aca="false">IF(OR(AI405="",AC405=""),"",IFERROR((AI405-AC405)/AI405,""))</f>
        <v/>
      </c>
      <c r="AK405" s="53" t="str">
        <f aca="false">IF(OR(AJ405="",AE405=""),"",AJ405-AE405)</f>
        <v/>
      </c>
      <c r="AL405" s="54" t="str">
        <f aca="false">IF(OR(AH405="",AF405=""),"",AH405-AF405)</f>
        <v/>
      </c>
      <c r="AM405" s="55" t="str">
        <f aca="false">IF(OR(A405="",K405&lt;&gt;"SI"),"",IF(AE405="","Sin objetivo",IF(AJ405="","Faltan datos",IF(AJ405&lt;0,"PÉRDIDA",IF(AK405&lt;-UMB_CRITICO,"MUY POR DEBAJO",IF(AK405&lt;-UMB_BAJO,"POR DEBAJO",IF(AK405&lt;-UMB_AJUSTADO,"AJUSTADO",IF(AK405&lt;=UMB_ALTO,"EN OBJETIVO","POR ENCIMA"))))))))</f>
        <v/>
      </c>
      <c r="AN405" s="44"/>
      <c r="AO405" s="44"/>
      <c r="AP405" s="46"/>
      <c r="AQ405" s="46"/>
      <c r="AR405" s="46"/>
      <c r="AS405" s="44"/>
      <c r="AT405" s="44"/>
      <c r="AU405" s="44"/>
      <c r="AV405" s="44"/>
      <c r="AW405" s="44"/>
      <c r="AX405" s="45"/>
      <c r="AY405" s="44"/>
      <c r="AZ405" s="56"/>
      <c r="BA405" s="45"/>
    </row>
    <row r="406" customFormat="false" ht="15" hidden="false" customHeight="false" outlineLevel="0" collapsed="false">
      <c r="A406" s="44"/>
      <c r="B406" s="44"/>
      <c r="C406" s="45"/>
      <c r="D406" s="45"/>
      <c r="E406" s="44"/>
      <c r="F406" s="44"/>
      <c r="G406" s="44"/>
      <c r="H406" s="44"/>
      <c r="I406" s="44"/>
      <c r="J406" s="44"/>
      <c r="K406" s="44"/>
      <c r="L406" s="44"/>
      <c r="M406" s="44"/>
      <c r="N406" s="44"/>
      <c r="O406" s="46"/>
      <c r="P406" s="44"/>
      <c r="Q406" s="46"/>
      <c r="R406" s="44"/>
      <c r="S406" s="45"/>
      <c r="T406" s="44"/>
      <c r="U406" s="44"/>
      <c r="V406" s="47"/>
      <c r="W406" s="48" t="str">
        <f aca="false">IF(V406="","",IFERROR(V406/O406,""))</f>
        <v/>
      </c>
      <c r="X406" s="44"/>
      <c r="Y406" s="46"/>
      <c r="Z406" s="49"/>
      <c r="AA406" s="44"/>
      <c r="AB406" s="50" t="str">
        <f aca="false">IFERROR(INDEX(TABLA_IVA!$C$3:$C$6,MATCH(AA406,TABLA_IVA!$A$3:$A$6,0)),"")</f>
        <v/>
      </c>
      <c r="AC406" s="47"/>
      <c r="AD406" s="44"/>
      <c r="AE406" s="51"/>
      <c r="AF406" s="52" t="str">
        <f aca="false">IF(OR(AC406="",AE406="",AB406=""),"",IFERROR(AC406/(1-AE406)*(1+AB406),""))</f>
        <v/>
      </c>
      <c r="AG406" s="47"/>
      <c r="AH406" s="52" t="str">
        <f aca="false">IF(AD406="FIJO",IF(AG406="","",AG406),IF(AF406&lt;&gt;"",AF406,IF(AG406="","",AG406)))</f>
        <v/>
      </c>
      <c r="AI406" s="52" t="str">
        <f aca="false">IF(OR(AH406="",AB406=""),"",IFERROR(AH406/(1+AB406),""))</f>
        <v/>
      </c>
      <c r="AJ406" s="50" t="str">
        <f aca="false">IF(OR(AI406="",AC406=""),"",IFERROR((AI406-AC406)/AI406,""))</f>
        <v/>
      </c>
      <c r="AK406" s="53" t="str">
        <f aca="false">IF(OR(AJ406="",AE406=""),"",AJ406-AE406)</f>
        <v/>
      </c>
      <c r="AL406" s="54" t="str">
        <f aca="false">IF(OR(AH406="",AF406=""),"",AH406-AF406)</f>
        <v/>
      </c>
      <c r="AM406" s="55" t="str">
        <f aca="false">IF(OR(A406="",K406&lt;&gt;"SI"),"",IF(AE406="","Sin objetivo",IF(AJ406="","Faltan datos",IF(AJ406&lt;0,"PÉRDIDA",IF(AK406&lt;-UMB_CRITICO,"MUY POR DEBAJO",IF(AK406&lt;-UMB_BAJO,"POR DEBAJO",IF(AK406&lt;-UMB_AJUSTADO,"AJUSTADO",IF(AK406&lt;=UMB_ALTO,"EN OBJETIVO","POR ENCIMA"))))))))</f>
        <v/>
      </c>
      <c r="AN406" s="44"/>
      <c r="AO406" s="44"/>
      <c r="AP406" s="46"/>
      <c r="AQ406" s="46"/>
      <c r="AR406" s="46"/>
      <c r="AS406" s="44"/>
      <c r="AT406" s="44"/>
      <c r="AU406" s="44"/>
      <c r="AV406" s="44"/>
      <c r="AW406" s="44"/>
      <c r="AX406" s="45"/>
      <c r="AY406" s="44"/>
      <c r="AZ406" s="56"/>
      <c r="BA406" s="45"/>
    </row>
    <row r="407" customFormat="false" ht="15" hidden="false" customHeight="false" outlineLevel="0" collapsed="false">
      <c r="A407" s="44"/>
      <c r="B407" s="44"/>
      <c r="C407" s="45"/>
      <c r="D407" s="45"/>
      <c r="E407" s="44"/>
      <c r="F407" s="44"/>
      <c r="G407" s="44"/>
      <c r="H407" s="44"/>
      <c r="I407" s="44"/>
      <c r="J407" s="44"/>
      <c r="K407" s="44"/>
      <c r="L407" s="44"/>
      <c r="M407" s="44"/>
      <c r="N407" s="44"/>
      <c r="O407" s="46"/>
      <c r="P407" s="44"/>
      <c r="Q407" s="46"/>
      <c r="R407" s="44"/>
      <c r="S407" s="45"/>
      <c r="T407" s="44"/>
      <c r="U407" s="44"/>
      <c r="V407" s="47"/>
      <c r="W407" s="48" t="str">
        <f aca="false">IF(V407="","",IFERROR(V407/O407,""))</f>
        <v/>
      </c>
      <c r="X407" s="44"/>
      <c r="Y407" s="46"/>
      <c r="Z407" s="49"/>
      <c r="AA407" s="44"/>
      <c r="AB407" s="50" t="str">
        <f aca="false">IFERROR(INDEX(TABLA_IVA!$C$3:$C$6,MATCH(AA407,TABLA_IVA!$A$3:$A$6,0)),"")</f>
        <v/>
      </c>
      <c r="AC407" s="47"/>
      <c r="AD407" s="44"/>
      <c r="AE407" s="51"/>
      <c r="AF407" s="52" t="str">
        <f aca="false">IF(OR(AC407="",AE407="",AB407=""),"",IFERROR(AC407/(1-AE407)*(1+AB407),""))</f>
        <v/>
      </c>
      <c r="AG407" s="47"/>
      <c r="AH407" s="52" t="str">
        <f aca="false">IF(AD407="FIJO",IF(AG407="","",AG407),IF(AF407&lt;&gt;"",AF407,IF(AG407="","",AG407)))</f>
        <v/>
      </c>
      <c r="AI407" s="52" t="str">
        <f aca="false">IF(OR(AH407="",AB407=""),"",IFERROR(AH407/(1+AB407),""))</f>
        <v/>
      </c>
      <c r="AJ407" s="50" t="str">
        <f aca="false">IF(OR(AI407="",AC407=""),"",IFERROR((AI407-AC407)/AI407,""))</f>
        <v/>
      </c>
      <c r="AK407" s="53" t="str">
        <f aca="false">IF(OR(AJ407="",AE407=""),"",AJ407-AE407)</f>
        <v/>
      </c>
      <c r="AL407" s="54" t="str">
        <f aca="false">IF(OR(AH407="",AF407=""),"",AH407-AF407)</f>
        <v/>
      </c>
      <c r="AM407" s="55" t="str">
        <f aca="false">IF(OR(A407="",K407&lt;&gt;"SI"),"",IF(AE407="","Sin objetivo",IF(AJ407="","Faltan datos",IF(AJ407&lt;0,"PÉRDIDA",IF(AK407&lt;-UMB_CRITICO,"MUY POR DEBAJO",IF(AK407&lt;-UMB_BAJO,"POR DEBAJO",IF(AK407&lt;-UMB_AJUSTADO,"AJUSTADO",IF(AK407&lt;=UMB_ALTO,"EN OBJETIVO","POR ENCIMA"))))))))</f>
        <v/>
      </c>
      <c r="AN407" s="44"/>
      <c r="AO407" s="44"/>
      <c r="AP407" s="46"/>
      <c r="AQ407" s="46"/>
      <c r="AR407" s="46"/>
      <c r="AS407" s="44"/>
      <c r="AT407" s="44"/>
      <c r="AU407" s="44"/>
      <c r="AV407" s="44"/>
      <c r="AW407" s="44"/>
      <c r="AX407" s="45"/>
      <c r="AY407" s="44"/>
      <c r="AZ407" s="56"/>
      <c r="BA407" s="45"/>
    </row>
    <row r="408" customFormat="false" ht="15" hidden="false" customHeight="false" outlineLevel="0" collapsed="false">
      <c r="A408" s="44"/>
      <c r="B408" s="44"/>
      <c r="C408" s="45"/>
      <c r="D408" s="45"/>
      <c r="E408" s="44"/>
      <c r="F408" s="44"/>
      <c r="G408" s="44"/>
      <c r="H408" s="44"/>
      <c r="I408" s="44"/>
      <c r="J408" s="44"/>
      <c r="K408" s="44"/>
      <c r="L408" s="44"/>
      <c r="M408" s="44"/>
      <c r="N408" s="44"/>
      <c r="O408" s="46"/>
      <c r="P408" s="44"/>
      <c r="Q408" s="46"/>
      <c r="R408" s="44"/>
      <c r="S408" s="45"/>
      <c r="T408" s="44"/>
      <c r="U408" s="44"/>
      <c r="V408" s="47"/>
      <c r="W408" s="48" t="str">
        <f aca="false">IF(V408="","",IFERROR(V408/O408,""))</f>
        <v/>
      </c>
      <c r="X408" s="44"/>
      <c r="Y408" s="46"/>
      <c r="Z408" s="49"/>
      <c r="AA408" s="44"/>
      <c r="AB408" s="50" t="str">
        <f aca="false">IFERROR(INDEX(TABLA_IVA!$C$3:$C$6,MATCH(AA408,TABLA_IVA!$A$3:$A$6,0)),"")</f>
        <v/>
      </c>
      <c r="AC408" s="47"/>
      <c r="AD408" s="44"/>
      <c r="AE408" s="51"/>
      <c r="AF408" s="52" t="str">
        <f aca="false">IF(OR(AC408="",AE408="",AB408=""),"",IFERROR(AC408/(1-AE408)*(1+AB408),""))</f>
        <v/>
      </c>
      <c r="AG408" s="47"/>
      <c r="AH408" s="52" t="str">
        <f aca="false">IF(AD408="FIJO",IF(AG408="","",AG408),IF(AF408&lt;&gt;"",AF408,IF(AG408="","",AG408)))</f>
        <v/>
      </c>
      <c r="AI408" s="52" t="str">
        <f aca="false">IF(OR(AH408="",AB408=""),"",IFERROR(AH408/(1+AB408),""))</f>
        <v/>
      </c>
      <c r="AJ408" s="50" t="str">
        <f aca="false">IF(OR(AI408="",AC408=""),"",IFERROR((AI408-AC408)/AI408,""))</f>
        <v/>
      </c>
      <c r="AK408" s="53" t="str">
        <f aca="false">IF(OR(AJ408="",AE408=""),"",AJ408-AE408)</f>
        <v/>
      </c>
      <c r="AL408" s="54" t="str">
        <f aca="false">IF(OR(AH408="",AF408=""),"",AH408-AF408)</f>
        <v/>
      </c>
      <c r="AM408" s="55" t="str">
        <f aca="false">IF(OR(A408="",K408&lt;&gt;"SI"),"",IF(AE408="","Sin objetivo",IF(AJ408="","Faltan datos",IF(AJ408&lt;0,"PÉRDIDA",IF(AK408&lt;-UMB_CRITICO,"MUY POR DEBAJO",IF(AK408&lt;-UMB_BAJO,"POR DEBAJO",IF(AK408&lt;-UMB_AJUSTADO,"AJUSTADO",IF(AK408&lt;=UMB_ALTO,"EN OBJETIVO","POR ENCIMA"))))))))</f>
        <v/>
      </c>
      <c r="AN408" s="44"/>
      <c r="AO408" s="44"/>
      <c r="AP408" s="46"/>
      <c r="AQ408" s="46"/>
      <c r="AR408" s="46"/>
      <c r="AS408" s="44"/>
      <c r="AT408" s="44"/>
      <c r="AU408" s="44"/>
      <c r="AV408" s="44"/>
      <c r="AW408" s="44"/>
      <c r="AX408" s="45"/>
      <c r="AY408" s="44"/>
      <c r="AZ408" s="56"/>
      <c r="BA408" s="45"/>
    </row>
    <row r="409" customFormat="false" ht="15" hidden="false" customHeight="false" outlineLevel="0" collapsed="false">
      <c r="A409" s="44"/>
      <c r="B409" s="44"/>
      <c r="C409" s="45"/>
      <c r="D409" s="45"/>
      <c r="E409" s="44"/>
      <c r="F409" s="44"/>
      <c r="G409" s="44"/>
      <c r="H409" s="44"/>
      <c r="I409" s="44"/>
      <c r="J409" s="44"/>
      <c r="K409" s="44"/>
      <c r="L409" s="44"/>
      <c r="M409" s="44"/>
      <c r="N409" s="44"/>
      <c r="O409" s="46"/>
      <c r="P409" s="44"/>
      <c r="Q409" s="46"/>
      <c r="R409" s="44"/>
      <c r="S409" s="45"/>
      <c r="T409" s="44"/>
      <c r="U409" s="44"/>
      <c r="V409" s="47"/>
      <c r="W409" s="48" t="str">
        <f aca="false">IF(V409="","",IFERROR(V409/O409,""))</f>
        <v/>
      </c>
      <c r="X409" s="44"/>
      <c r="Y409" s="46"/>
      <c r="Z409" s="49"/>
      <c r="AA409" s="44"/>
      <c r="AB409" s="50" t="str">
        <f aca="false">IFERROR(INDEX(TABLA_IVA!$C$3:$C$6,MATCH(AA409,TABLA_IVA!$A$3:$A$6,0)),"")</f>
        <v/>
      </c>
      <c r="AC409" s="47"/>
      <c r="AD409" s="44"/>
      <c r="AE409" s="51"/>
      <c r="AF409" s="52" t="str">
        <f aca="false">IF(OR(AC409="",AE409="",AB409=""),"",IFERROR(AC409/(1-AE409)*(1+AB409),""))</f>
        <v/>
      </c>
      <c r="AG409" s="47"/>
      <c r="AH409" s="52" t="str">
        <f aca="false">IF(AD409="FIJO",IF(AG409="","",AG409),IF(AF409&lt;&gt;"",AF409,IF(AG409="","",AG409)))</f>
        <v/>
      </c>
      <c r="AI409" s="52" t="str">
        <f aca="false">IF(OR(AH409="",AB409=""),"",IFERROR(AH409/(1+AB409),""))</f>
        <v/>
      </c>
      <c r="AJ409" s="50" t="str">
        <f aca="false">IF(OR(AI409="",AC409=""),"",IFERROR((AI409-AC409)/AI409,""))</f>
        <v/>
      </c>
      <c r="AK409" s="53" t="str">
        <f aca="false">IF(OR(AJ409="",AE409=""),"",AJ409-AE409)</f>
        <v/>
      </c>
      <c r="AL409" s="54" t="str">
        <f aca="false">IF(OR(AH409="",AF409=""),"",AH409-AF409)</f>
        <v/>
      </c>
      <c r="AM409" s="55" t="str">
        <f aca="false">IF(OR(A409="",K409&lt;&gt;"SI"),"",IF(AE409="","Sin objetivo",IF(AJ409="","Faltan datos",IF(AJ409&lt;0,"PÉRDIDA",IF(AK409&lt;-UMB_CRITICO,"MUY POR DEBAJO",IF(AK409&lt;-UMB_BAJO,"POR DEBAJO",IF(AK409&lt;-UMB_AJUSTADO,"AJUSTADO",IF(AK409&lt;=UMB_ALTO,"EN OBJETIVO","POR ENCIMA"))))))))</f>
        <v/>
      </c>
      <c r="AN409" s="44"/>
      <c r="AO409" s="44"/>
      <c r="AP409" s="46"/>
      <c r="AQ409" s="46"/>
      <c r="AR409" s="46"/>
      <c r="AS409" s="44"/>
      <c r="AT409" s="44"/>
      <c r="AU409" s="44"/>
      <c r="AV409" s="44"/>
      <c r="AW409" s="44"/>
      <c r="AX409" s="45"/>
      <c r="AY409" s="44"/>
      <c r="AZ409" s="56"/>
      <c r="BA409" s="45"/>
    </row>
    <row r="410" customFormat="false" ht="15" hidden="false" customHeight="false" outlineLevel="0" collapsed="false">
      <c r="A410" s="44"/>
      <c r="B410" s="44"/>
      <c r="C410" s="45"/>
      <c r="D410" s="45"/>
      <c r="E410" s="44"/>
      <c r="F410" s="44"/>
      <c r="G410" s="44"/>
      <c r="H410" s="44"/>
      <c r="I410" s="44"/>
      <c r="J410" s="44"/>
      <c r="K410" s="44"/>
      <c r="L410" s="44"/>
      <c r="M410" s="44"/>
      <c r="N410" s="44"/>
      <c r="O410" s="46"/>
      <c r="P410" s="44"/>
      <c r="Q410" s="46"/>
      <c r="R410" s="44"/>
      <c r="S410" s="45"/>
      <c r="T410" s="44"/>
      <c r="U410" s="44"/>
      <c r="V410" s="47"/>
      <c r="W410" s="48" t="str">
        <f aca="false">IF(V410="","",IFERROR(V410/O410,""))</f>
        <v/>
      </c>
      <c r="X410" s="44"/>
      <c r="Y410" s="46"/>
      <c r="Z410" s="49"/>
      <c r="AA410" s="44"/>
      <c r="AB410" s="50" t="str">
        <f aca="false">IFERROR(INDEX(TABLA_IVA!$C$3:$C$6,MATCH(AA410,TABLA_IVA!$A$3:$A$6,0)),"")</f>
        <v/>
      </c>
      <c r="AC410" s="47"/>
      <c r="AD410" s="44"/>
      <c r="AE410" s="51"/>
      <c r="AF410" s="52" t="str">
        <f aca="false">IF(OR(AC410="",AE410="",AB410=""),"",IFERROR(AC410/(1-AE410)*(1+AB410),""))</f>
        <v/>
      </c>
      <c r="AG410" s="47"/>
      <c r="AH410" s="52" t="str">
        <f aca="false">IF(AD410="FIJO",IF(AG410="","",AG410),IF(AF410&lt;&gt;"",AF410,IF(AG410="","",AG410)))</f>
        <v/>
      </c>
      <c r="AI410" s="52" t="str">
        <f aca="false">IF(OR(AH410="",AB410=""),"",IFERROR(AH410/(1+AB410),""))</f>
        <v/>
      </c>
      <c r="AJ410" s="50" t="str">
        <f aca="false">IF(OR(AI410="",AC410=""),"",IFERROR((AI410-AC410)/AI410,""))</f>
        <v/>
      </c>
      <c r="AK410" s="53" t="str">
        <f aca="false">IF(OR(AJ410="",AE410=""),"",AJ410-AE410)</f>
        <v/>
      </c>
      <c r="AL410" s="54" t="str">
        <f aca="false">IF(OR(AH410="",AF410=""),"",AH410-AF410)</f>
        <v/>
      </c>
      <c r="AM410" s="55" t="str">
        <f aca="false">IF(OR(A410="",K410&lt;&gt;"SI"),"",IF(AE410="","Sin objetivo",IF(AJ410="","Faltan datos",IF(AJ410&lt;0,"PÉRDIDA",IF(AK410&lt;-UMB_CRITICO,"MUY POR DEBAJO",IF(AK410&lt;-UMB_BAJO,"POR DEBAJO",IF(AK410&lt;-UMB_AJUSTADO,"AJUSTADO",IF(AK410&lt;=UMB_ALTO,"EN OBJETIVO","POR ENCIMA"))))))))</f>
        <v/>
      </c>
      <c r="AN410" s="44"/>
      <c r="AO410" s="44"/>
      <c r="AP410" s="46"/>
      <c r="AQ410" s="46"/>
      <c r="AR410" s="46"/>
      <c r="AS410" s="44"/>
      <c r="AT410" s="44"/>
      <c r="AU410" s="44"/>
      <c r="AV410" s="44"/>
      <c r="AW410" s="44"/>
      <c r="AX410" s="45"/>
      <c r="AY410" s="44"/>
      <c r="AZ410" s="56"/>
      <c r="BA410" s="45"/>
    </row>
    <row r="411" customFormat="false" ht="15" hidden="false" customHeight="false" outlineLevel="0" collapsed="false">
      <c r="A411" s="44"/>
      <c r="B411" s="44"/>
      <c r="C411" s="45"/>
      <c r="D411" s="45"/>
      <c r="E411" s="44"/>
      <c r="F411" s="44"/>
      <c r="G411" s="44"/>
      <c r="H411" s="44"/>
      <c r="I411" s="44"/>
      <c r="J411" s="44"/>
      <c r="K411" s="44"/>
      <c r="L411" s="44"/>
      <c r="M411" s="44"/>
      <c r="N411" s="44"/>
      <c r="O411" s="46"/>
      <c r="P411" s="44"/>
      <c r="Q411" s="46"/>
      <c r="R411" s="44"/>
      <c r="S411" s="45"/>
      <c r="T411" s="44"/>
      <c r="U411" s="44"/>
      <c r="V411" s="47"/>
      <c r="W411" s="48" t="str">
        <f aca="false">IF(V411="","",IFERROR(V411/O411,""))</f>
        <v/>
      </c>
      <c r="X411" s="44"/>
      <c r="Y411" s="46"/>
      <c r="Z411" s="49"/>
      <c r="AA411" s="44"/>
      <c r="AB411" s="50" t="str">
        <f aca="false">IFERROR(INDEX(TABLA_IVA!$C$3:$C$6,MATCH(AA411,TABLA_IVA!$A$3:$A$6,0)),"")</f>
        <v/>
      </c>
      <c r="AC411" s="47"/>
      <c r="AD411" s="44"/>
      <c r="AE411" s="51"/>
      <c r="AF411" s="52" t="str">
        <f aca="false">IF(OR(AC411="",AE411="",AB411=""),"",IFERROR(AC411/(1-AE411)*(1+AB411),""))</f>
        <v/>
      </c>
      <c r="AG411" s="47"/>
      <c r="AH411" s="52" t="str">
        <f aca="false">IF(AD411="FIJO",IF(AG411="","",AG411),IF(AF411&lt;&gt;"",AF411,IF(AG411="","",AG411)))</f>
        <v/>
      </c>
      <c r="AI411" s="52" t="str">
        <f aca="false">IF(OR(AH411="",AB411=""),"",IFERROR(AH411/(1+AB411),""))</f>
        <v/>
      </c>
      <c r="AJ411" s="50" t="str">
        <f aca="false">IF(OR(AI411="",AC411=""),"",IFERROR((AI411-AC411)/AI411,""))</f>
        <v/>
      </c>
      <c r="AK411" s="53" t="str">
        <f aca="false">IF(OR(AJ411="",AE411=""),"",AJ411-AE411)</f>
        <v/>
      </c>
      <c r="AL411" s="54" t="str">
        <f aca="false">IF(OR(AH411="",AF411=""),"",AH411-AF411)</f>
        <v/>
      </c>
      <c r="AM411" s="55" t="str">
        <f aca="false">IF(OR(A411="",K411&lt;&gt;"SI"),"",IF(AE411="","Sin objetivo",IF(AJ411="","Faltan datos",IF(AJ411&lt;0,"PÉRDIDA",IF(AK411&lt;-UMB_CRITICO,"MUY POR DEBAJO",IF(AK411&lt;-UMB_BAJO,"POR DEBAJO",IF(AK411&lt;-UMB_AJUSTADO,"AJUSTADO",IF(AK411&lt;=UMB_ALTO,"EN OBJETIVO","POR ENCIMA"))))))))</f>
        <v/>
      </c>
      <c r="AN411" s="44"/>
      <c r="AO411" s="44"/>
      <c r="AP411" s="46"/>
      <c r="AQ411" s="46"/>
      <c r="AR411" s="46"/>
      <c r="AS411" s="44"/>
      <c r="AT411" s="44"/>
      <c r="AU411" s="44"/>
      <c r="AV411" s="44"/>
      <c r="AW411" s="44"/>
      <c r="AX411" s="45"/>
      <c r="AY411" s="44"/>
      <c r="AZ411" s="56"/>
      <c r="BA411" s="45"/>
    </row>
    <row r="412" customFormat="false" ht="15" hidden="false" customHeight="false" outlineLevel="0" collapsed="false">
      <c r="A412" s="44"/>
      <c r="B412" s="44"/>
      <c r="C412" s="45"/>
      <c r="D412" s="45"/>
      <c r="E412" s="44"/>
      <c r="F412" s="44"/>
      <c r="G412" s="44"/>
      <c r="H412" s="44"/>
      <c r="I412" s="44"/>
      <c r="J412" s="44"/>
      <c r="K412" s="44"/>
      <c r="L412" s="44"/>
      <c r="M412" s="44"/>
      <c r="N412" s="44"/>
      <c r="O412" s="46"/>
      <c r="P412" s="44"/>
      <c r="Q412" s="46"/>
      <c r="R412" s="44"/>
      <c r="S412" s="45"/>
      <c r="T412" s="44"/>
      <c r="U412" s="44"/>
      <c r="V412" s="47"/>
      <c r="W412" s="48" t="str">
        <f aca="false">IF(V412="","",IFERROR(V412/O412,""))</f>
        <v/>
      </c>
      <c r="X412" s="44"/>
      <c r="Y412" s="46"/>
      <c r="Z412" s="49"/>
      <c r="AA412" s="44"/>
      <c r="AB412" s="50" t="str">
        <f aca="false">IFERROR(INDEX(TABLA_IVA!$C$3:$C$6,MATCH(AA412,TABLA_IVA!$A$3:$A$6,0)),"")</f>
        <v/>
      </c>
      <c r="AC412" s="47"/>
      <c r="AD412" s="44"/>
      <c r="AE412" s="51"/>
      <c r="AF412" s="52" t="str">
        <f aca="false">IF(OR(AC412="",AE412="",AB412=""),"",IFERROR(AC412/(1-AE412)*(1+AB412),""))</f>
        <v/>
      </c>
      <c r="AG412" s="47"/>
      <c r="AH412" s="52" t="str">
        <f aca="false">IF(AD412="FIJO",IF(AG412="","",AG412),IF(AF412&lt;&gt;"",AF412,IF(AG412="","",AG412)))</f>
        <v/>
      </c>
      <c r="AI412" s="52" t="str">
        <f aca="false">IF(OR(AH412="",AB412=""),"",IFERROR(AH412/(1+AB412),""))</f>
        <v/>
      </c>
      <c r="AJ412" s="50" t="str">
        <f aca="false">IF(OR(AI412="",AC412=""),"",IFERROR((AI412-AC412)/AI412,""))</f>
        <v/>
      </c>
      <c r="AK412" s="53" t="str">
        <f aca="false">IF(OR(AJ412="",AE412=""),"",AJ412-AE412)</f>
        <v/>
      </c>
      <c r="AL412" s="54" t="str">
        <f aca="false">IF(OR(AH412="",AF412=""),"",AH412-AF412)</f>
        <v/>
      </c>
      <c r="AM412" s="55" t="str">
        <f aca="false">IF(OR(A412="",K412&lt;&gt;"SI"),"",IF(AE412="","Sin objetivo",IF(AJ412="","Faltan datos",IF(AJ412&lt;0,"PÉRDIDA",IF(AK412&lt;-UMB_CRITICO,"MUY POR DEBAJO",IF(AK412&lt;-UMB_BAJO,"POR DEBAJO",IF(AK412&lt;-UMB_AJUSTADO,"AJUSTADO",IF(AK412&lt;=UMB_ALTO,"EN OBJETIVO","POR ENCIMA"))))))))</f>
        <v/>
      </c>
      <c r="AN412" s="44"/>
      <c r="AO412" s="44"/>
      <c r="AP412" s="46"/>
      <c r="AQ412" s="46"/>
      <c r="AR412" s="46"/>
      <c r="AS412" s="44"/>
      <c r="AT412" s="44"/>
      <c r="AU412" s="44"/>
      <c r="AV412" s="44"/>
      <c r="AW412" s="44"/>
      <c r="AX412" s="45"/>
      <c r="AY412" s="44"/>
      <c r="AZ412" s="56"/>
      <c r="BA412" s="45"/>
    </row>
    <row r="413" customFormat="false" ht="15" hidden="false" customHeight="false" outlineLevel="0" collapsed="false">
      <c r="A413" s="44"/>
      <c r="B413" s="44"/>
      <c r="C413" s="45"/>
      <c r="D413" s="45"/>
      <c r="E413" s="44"/>
      <c r="F413" s="44"/>
      <c r="G413" s="44"/>
      <c r="H413" s="44"/>
      <c r="I413" s="44"/>
      <c r="J413" s="44"/>
      <c r="K413" s="44"/>
      <c r="L413" s="44"/>
      <c r="M413" s="44"/>
      <c r="N413" s="44"/>
      <c r="O413" s="46"/>
      <c r="P413" s="44"/>
      <c r="Q413" s="46"/>
      <c r="R413" s="44"/>
      <c r="S413" s="45"/>
      <c r="T413" s="44"/>
      <c r="U413" s="44"/>
      <c r="V413" s="47"/>
      <c r="W413" s="48" t="str">
        <f aca="false">IF(V413="","",IFERROR(V413/O413,""))</f>
        <v/>
      </c>
      <c r="X413" s="44"/>
      <c r="Y413" s="46"/>
      <c r="Z413" s="49"/>
      <c r="AA413" s="44"/>
      <c r="AB413" s="50" t="str">
        <f aca="false">IFERROR(INDEX(TABLA_IVA!$C$3:$C$6,MATCH(AA413,TABLA_IVA!$A$3:$A$6,0)),"")</f>
        <v/>
      </c>
      <c r="AC413" s="47"/>
      <c r="AD413" s="44"/>
      <c r="AE413" s="51"/>
      <c r="AF413" s="52" t="str">
        <f aca="false">IF(OR(AC413="",AE413="",AB413=""),"",IFERROR(AC413/(1-AE413)*(1+AB413),""))</f>
        <v/>
      </c>
      <c r="AG413" s="47"/>
      <c r="AH413" s="52" t="str">
        <f aca="false">IF(AD413="FIJO",IF(AG413="","",AG413),IF(AF413&lt;&gt;"",AF413,IF(AG413="","",AG413)))</f>
        <v/>
      </c>
      <c r="AI413" s="52" t="str">
        <f aca="false">IF(OR(AH413="",AB413=""),"",IFERROR(AH413/(1+AB413),""))</f>
        <v/>
      </c>
      <c r="AJ413" s="50" t="str">
        <f aca="false">IF(OR(AI413="",AC413=""),"",IFERROR((AI413-AC413)/AI413,""))</f>
        <v/>
      </c>
      <c r="AK413" s="53" t="str">
        <f aca="false">IF(OR(AJ413="",AE413=""),"",AJ413-AE413)</f>
        <v/>
      </c>
      <c r="AL413" s="54" t="str">
        <f aca="false">IF(OR(AH413="",AF413=""),"",AH413-AF413)</f>
        <v/>
      </c>
      <c r="AM413" s="55" t="str">
        <f aca="false">IF(OR(A413="",K413&lt;&gt;"SI"),"",IF(AE413="","Sin objetivo",IF(AJ413="","Faltan datos",IF(AJ413&lt;0,"PÉRDIDA",IF(AK413&lt;-UMB_CRITICO,"MUY POR DEBAJO",IF(AK413&lt;-UMB_BAJO,"POR DEBAJO",IF(AK413&lt;-UMB_AJUSTADO,"AJUSTADO",IF(AK413&lt;=UMB_ALTO,"EN OBJETIVO","POR ENCIMA"))))))))</f>
        <v/>
      </c>
      <c r="AN413" s="44"/>
      <c r="AO413" s="44"/>
      <c r="AP413" s="46"/>
      <c r="AQ413" s="46"/>
      <c r="AR413" s="46"/>
      <c r="AS413" s="44"/>
      <c r="AT413" s="44"/>
      <c r="AU413" s="44"/>
      <c r="AV413" s="44"/>
      <c r="AW413" s="44"/>
      <c r="AX413" s="45"/>
      <c r="AY413" s="44"/>
      <c r="AZ413" s="56"/>
      <c r="BA413" s="45"/>
    </row>
    <row r="414" customFormat="false" ht="15" hidden="false" customHeight="false" outlineLevel="0" collapsed="false">
      <c r="A414" s="44"/>
      <c r="B414" s="44"/>
      <c r="C414" s="45"/>
      <c r="D414" s="45"/>
      <c r="E414" s="44"/>
      <c r="F414" s="44"/>
      <c r="G414" s="44"/>
      <c r="H414" s="44"/>
      <c r="I414" s="44"/>
      <c r="J414" s="44"/>
      <c r="K414" s="44"/>
      <c r="L414" s="44"/>
      <c r="M414" s="44"/>
      <c r="N414" s="44"/>
      <c r="O414" s="46"/>
      <c r="P414" s="44"/>
      <c r="Q414" s="46"/>
      <c r="R414" s="44"/>
      <c r="S414" s="45"/>
      <c r="T414" s="44"/>
      <c r="U414" s="44"/>
      <c r="V414" s="47"/>
      <c r="W414" s="48" t="str">
        <f aca="false">IF(V414="","",IFERROR(V414/O414,""))</f>
        <v/>
      </c>
      <c r="X414" s="44"/>
      <c r="Y414" s="46"/>
      <c r="Z414" s="49"/>
      <c r="AA414" s="44"/>
      <c r="AB414" s="50" t="str">
        <f aca="false">IFERROR(INDEX(TABLA_IVA!$C$3:$C$6,MATCH(AA414,TABLA_IVA!$A$3:$A$6,0)),"")</f>
        <v/>
      </c>
      <c r="AC414" s="47"/>
      <c r="AD414" s="44"/>
      <c r="AE414" s="51"/>
      <c r="AF414" s="52" t="str">
        <f aca="false">IF(OR(AC414="",AE414="",AB414=""),"",IFERROR(AC414/(1-AE414)*(1+AB414),""))</f>
        <v/>
      </c>
      <c r="AG414" s="47"/>
      <c r="AH414" s="52" t="str">
        <f aca="false">IF(AD414="FIJO",IF(AG414="","",AG414),IF(AF414&lt;&gt;"",AF414,IF(AG414="","",AG414)))</f>
        <v/>
      </c>
      <c r="AI414" s="52" t="str">
        <f aca="false">IF(OR(AH414="",AB414=""),"",IFERROR(AH414/(1+AB414),""))</f>
        <v/>
      </c>
      <c r="AJ414" s="50" t="str">
        <f aca="false">IF(OR(AI414="",AC414=""),"",IFERROR((AI414-AC414)/AI414,""))</f>
        <v/>
      </c>
      <c r="AK414" s="53" t="str">
        <f aca="false">IF(OR(AJ414="",AE414=""),"",AJ414-AE414)</f>
        <v/>
      </c>
      <c r="AL414" s="54" t="str">
        <f aca="false">IF(OR(AH414="",AF414=""),"",AH414-AF414)</f>
        <v/>
      </c>
      <c r="AM414" s="55" t="str">
        <f aca="false">IF(OR(A414="",K414&lt;&gt;"SI"),"",IF(AE414="","Sin objetivo",IF(AJ414="","Faltan datos",IF(AJ414&lt;0,"PÉRDIDA",IF(AK414&lt;-UMB_CRITICO,"MUY POR DEBAJO",IF(AK414&lt;-UMB_BAJO,"POR DEBAJO",IF(AK414&lt;-UMB_AJUSTADO,"AJUSTADO",IF(AK414&lt;=UMB_ALTO,"EN OBJETIVO","POR ENCIMA"))))))))</f>
        <v/>
      </c>
      <c r="AN414" s="44"/>
      <c r="AO414" s="44"/>
      <c r="AP414" s="46"/>
      <c r="AQ414" s="46"/>
      <c r="AR414" s="46"/>
      <c r="AS414" s="44"/>
      <c r="AT414" s="44"/>
      <c r="AU414" s="44"/>
      <c r="AV414" s="44"/>
      <c r="AW414" s="44"/>
      <c r="AX414" s="45"/>
      <c r="AY414" s="44"/>
      <c r="AZ414" s="56"/>
      <c r="BA414" s="45"/>
    </row>
    <row r="415" customFormat="false" ht="15" hidden="false" customHeight="false" outlineLevel="0" collapsed="false">
      <c r="A415" s="44"/>
      <c r="B415" s="44"/>
      <c r="C415" s="45"/>
      <c r="D415" s="45"/>
      <c r="E415" s="44"/>
      <c r="F415" s="44"/>
      <c r="G415" s="44"/>
      <c r="H415" s="44"/>
      <c r="I415" s="44"/>
      <c r="J415" s="44"/>
      <c r="K415" s="44"/>
      <c r="L415" s="44"/>
      <c r="M415" s="44"/>
      <c r="N415" s="44"/>
      <c r="O415" s="46"/>
      <c r="P415" s="44"/>
      <c r="Q415" s="46"/>
      <c r="R415" s="44"/>
      <c r="S415" s="45"/>
      <c r="T415" s="44"/>
      <c r="U415" s="44"/>
      <c r="V415" s="47"/>
      <c r="W415" s="48" t="str">
        <f aca="false">IF(V415="","",IFERROR(V415/O415,""))</f>
        <v/>
      </c>
      <c r="X415" s="44"/>
      <c r="Y415" s="46"/>
      <c r="Z415" s="49"/>
      <c r="AA415" s="44"/>
      <c r="AB415" s="50" t="str">
        <f aca="false">IFERROR(INDEX(TABLA_IVA!$C$3:$C$6,MATCH(AA415,TABLA_IVA!$A$3:$A$6,0)),"")</f>
        <v/>
      </c>
      <c r="AC415" s="47"/>
      <c r="AD415" s="44"/>
      <c r="AE415" s="51"/>
      <c r="AF415" s="52" t="str">
        <f aca="false">IF(OR(AC415="",AE415="",AB415=""),"",IFERROR(AC415/(1-AE415)*(1+AB415),""))</f>
        <v/>
      </c>
      <c r="AG415" s="47"/>
      <c r="AH415" s="52" t="str">
        <f aca="false">IF(AD415="FIJO",IF(AG415="","",AG415),IF(AF415&lt;&gt;"",AF415,IF(AG415="","",AG415)))</f>
        <v/>
      </c>
      <c r="AI415" s="52" t="str">
        <f aca="false">IF(OR(AH415="",AB415=""),"",IFERROR(AH415/(1+AB415),""))</f>
        <v/>
      </c>
      <c r="AJ415" s="50" t="str">
        <f aca="false">IF(OR(AI415="",AC415=""),"",IFERROR((AI415-AC415)/AI415,""))</f>
        <v/>
      </c>
      <c r="AK415" s="53" t="str">
        <f aca="false">IF(OR(AJ415="",AE415=""),"",AJ415-AE415)</f>
        <v/>
      </c>
      <c r="AL415" s="54" t="str">
        <f aca="false">IF(OR(AH415="",AF415=""),"",AH415-AF415)</f>
        <v/>
      </c>
      <c r="AM415" s="55" t="str">
        <f aca="false">IF(OR(A415="",K415&lt;&gt;"SI"),"",IF(AE415="","Sin objetivo",IF(AJ415="","Faltan datos",IF(AJ415&lt;0,"PÉRDIDA",IF(AK415&lt;-UMB_CRITICO,"MUY POR DEBAJO",IF(AK415&lt;-UMB_BAJO,"POR DEBAJO",IF(AK415&lt;-UMB_AJUSTADO,"AJUSTADO",IF(AK415&lt;=UMB_ALTO,"EN OBJETIVO","POR ENCIMA"))))))))</f>
        <v/>
      </c>
      <c r="AN415" s="44"/>
      <c r="AO415" s="44"/>
      <c r="AP415" s="46"/>
      <c r="AQ415" s="46"/>
      <c r="AR415" s="46"/>
      <c r="AS415" s="44"/>
      <c r="AT415" s="44"/>
      <c r="AU415" s="44"/>
      <c r="AV415" s="44"/>
      <c r="AW415" s="44"/>
      <c r="AX415" s="45"/>
      <c r="AY415" s="44"/>
      <c r="AZ415" s="56"/>
      <c r="BA415" s="45"/>
    </row>
    <row r="416" customFormat="false" ht="15" hidden="false" customHeight="false" outlineLevel="0" collapsed="false">
      <c r="A416" s="44"/>
      <c r="B416" s="44"/>
      <c r="C416" s="45"/>
      <c r="D416" s="45"/>
      <c r="E416" s="44"/>
      <c r="F416" s="44"/>
      <c r="G416" s="44"/>
      <c r="H416" s="44"/>
      <c r="I416" s="44"/>
      <c r="J416" s="44"/>
      <c r="K416" s="44"/>
      <c r="L416" s="44"/>
      <c r="M416" s="44"/>
      <c r="N416" s="44"/>
      <c r="O416" s="46"/>
      <c r="P416" s="44"/>
      <c r="Q416" s="46"/>
      <c r="R416" s="44"/>
      <c r="S416" s="45"/>
      <c r="T416" s="44"/>
      <c r="U416" s="44"/>
      <c r="V416" s="47"/>
      <c r="W416" s="48" t="str">
        <f aca="false">IF(V416="","",IFERROR(V416/O416,""))</f>
        <v/>
      </c>
      <c r="X416" s="44"/>
      <c r="Y416" s="46"/>
      <c r="Z416" s="49"/>
      <c r="AA416" s="44"/>
      <c r="AB416" s="50" t="str">
        <f aca="false">IFERROR(INDEX(TABLA_IVA!$C$3:$C$6,MATCH(AA416,TABLA_IVA!$A$3:$A$6,0)),"")</f>
        <v/>
      </c>
      <c r="AC416" s="47"/>
      <c r="AD416" s="44"/>
      <c r="AE416" s="51"/>
      <c r="AF416" s="52" t="str">
        <f aca="false">IF(OR(AC416="",AE416="",AB416=""),"",IFERROR(AC416/(1-AE416)*(1+AB416),""))</f>
        <v/>
      </c>
      <c r="AG416" s="47"/>
      <c r="AH416" s="52" t="str">
        <f aca="false">IF(AD416="FIJO",IF(AG416="","",AG416),IF(AF416&lt;&gt;"",AF416,IF(AG416="","",AG416)))</f>
        <v/>
      </c>
      <c r="AI416" s="52" t="str">
        <f aca="false">IF(OR(AH416="",AB416=""),"",IFERROR(AH416/(1+AB416),""))</f>
        <v/>
      </c>
      <c r="AJ416" s="50" t="str">
        <f aca="false">IF(OR(AI416="",AC416=""),"",IFERROR((AI416-AC416)/AI416,""))</f>
        <v/>
      </c>
      <c r="AK416" s="53" t="str">
        <f aca="false">IF(OR(AJ416="",AE416=""),"",AJ416-AE416)</f>
        <v/>
      </c>
      <c r="AL416" s="54" t="str">
        <f aca="false">IF(OR(AH416="",AF416=""),"",AH416-AF416)</f>
        <v/>
      </c>
      <c r="AM416" s="55" t="str">
        <f aca="false">IF(OR(A416="",K416&lt;&gt;"SI"),"",IF(AE416="","Sin objetivo",IF(AJ416="","Faltan datos",IF(AJ416&lt;0,"PÉRDIDA",IF(AK416&lt;-UMB_CRITICO,"MUY POR DEBAJO",IF(AK416&lt;-UMB_BAJO,"POR DEBAJO",IF(AK416&lt;-UMB_AJUSTADO,"AJUSTADO",IF(AK416&lt;=UMB_ALTO,"EN OBJETIVO","POR ENCIMA"))))))))</f>
        <v/>
      </c>
      <c r="AN416" s="44"/>
      <c r="AO416" s="44"/>
      <c r="AP416" s="46"/>
      <c r="AQ416" s="46"/>
      <c r="AR416" s="46"/>
      <c r="AS416" s="44"/>
      <c r="AT416" s="44"/>
      <c r="AU416" s="44"/>
      <c r="AV416" s="44"/>
      <c r="AW416" s="44"/>
      <c r="AX416" s="45"/>
      <c r="AY416" s="44"/>
      <c r="AZ416" s="56"/>
      <c r="BA416" s="45"/>
    </row>
    <row r="417" customFormat="false" ht="15" hidden="false" customHeight="false" outlineLevel="0" collapsed="false">
      <c r="A417" s="44"/>
      <c r="B417" s="44"/>
      <c r="C417" s="45"/>
      <c r="D417" s="45"/>
      <c r="E417" s="44"/>
      <c r="F417" s="44"/>
      <c r="G417" s="44"/>
      <c r="H417" s="44"/>
      <c r="I417" s="44"/>
      <c r="J417" s="44"/>
      <c r="K417" s="44"/>
      <c r="L417" s="44"/>
      <c r="M417" s="44"/>
      <c r="N417" s="44"/>
      <c r="O417" s="46"/>
      <c r="P417" s="44"/>
      <c r="Q417" s="46"/>
      <c r="R417" s="44"/>
      <c r="S417" s="45"/>
      <c r="T417" s="44"/>
      <c r="U417" s="44"/>
      <c r="V417" s="47"/>
      <c r="W417" s="48" t="str">
        <f aca="false">IF(V417="","",IFERROR(V417/O417,""))</f>
        <v/>
      </c>
      <c r="X417" s="44"/>
      <c r="Y417" s="46"/>
      <c r="Z417" s="49"/>
      <c r="AA417" s="44"/>
      <c r="AB417" s="50" t="str">
        <f aca="false">IFERROR(INDEX(TABLA_IVA!$C$3:$C$6,MATCH(AA417,TABLA_IVA!$A$3:$A$6,0)),"")</f>
        <v/>
      </c>
      <c r="AC417" s="47"/>
      <c r="AD417" s="44"/>
      <c r="AE417" s="51"/>
      <c r="AF417" s="52" t="str">
        <f aca="false">IF(OR(AC417="",AE417="",AB417=""),"",IFERROR(AC417/(1-AE417)*(1+AB417),""))</f>
        <v/>
      </c>
      <c r="AG417" s="47"/>
      <c r="AH417" s="52" t="str">
        <f aca="false">IF(AD417="FIJO",IF(AG417="","",AG417),IF(AF417&lt;&gt;"",AF417,IF(AG417="","",AG417)))</f>
        <v/>
      </c>
      <c r="AI417" s="52" t="str">
        <f aca="false">IF(OR(AH417="",AB417=""),"",IFERROR(AH417/(1+AB417),""))</f>
        <v/>
      </c>
      <c r="AJ417" s="50" t="str">
        <f aca="false">IF(OR(AI417="",AC417=""),"",IFERROR((AI417-AC417)/AI417,""))</f>
        <v/>
      </c>
      <c r="AK417" s="53" t="str">
        <f aca="false">IF(OR(AJ417="",AE417=""),"",AJ417-AE417)</f>
        <v/>
      </c>
      <c r="AL417" s="54" t="str">
        <f aca="false">IF(OR(AH417="",AF417=""),"",AH417-AF417)</f>
        <v/>
      </c>
      <c r="AM417" s="55" t="str">
        <f aca="false">IF(OR(A417="",K417&lt;&gt;"SI"),"",IF(AE417="","Sin objetivo",IF(AJ417="","Faltan datos",IF(AJ417&lt;0,"PÉRDIDA",IF(AK417&lt;-UMB_CRITICO,"MUY POR DEBAJO",IF(AK417&lt;-UMB_BAJO,"POR DEBAJO",IF(AK417&lt;-UMB_AJUSTADO,"AJUSTADO",IF(AK417&lt;=UMB_ALTO,"EN OBJETIVO","POR ENCIMA"))))))))</f>
        <v/>
      </c>
      <c r="AN417" s="44"/>
      <c r="AO417" s="44"/>
      <c r="AP417" s="46"/>
      <c r="AQ417" s="46"/>
      <c r="AR417" s="46"/>
      <c r="AS417" s="44"/>
      <c r="AT417" s="44"/>
      <c r="AU417" s="44"/>
      <c r="AV417" s="44"/>
      <c r="AW417" s="44"/>
      <c r="AX417" s="45"/>
      <c r="AY417" s="44"/>
      <c r="AZ417" s="56"/>
      <c r="BA417" s="45"/>
    </row>
    <row r="418" customFormat="false" ht="15" hidden="false" customHeight="false" outlineLevel="0" collapsed="false">
      <c r="A418" s="44"/>
      <c r="B418" s="44"/>
      <c r="C418" s="45"/>
      <c r="D418" s="45"/>
      <c r="E418" s="44"/>
      <c r="F418" s="44"/>
      <c r="G418" s="44"/>
      <c r="H418" s="44"/>
      <c r="I418" s="44"/>
      <c r="J418" s="44"/>
      <c r="K418" s="44"/>
      <c r="L418" s="44"/>
      <c r="M418" s="44"/>
      <c r="N418" s="44"/>
      <c r="O418" s="46"/>
      <c r="P418" s="44"/>
      <c r="Q418" s="46"/>
      <c r="R418" s="44"/>
      <c r="S418" s="45"/>
      <c r="T418" s="44"/>
      <c r="U418" s="44"/>
      <c r="V418" s="47"/>
      <c r="W418" s="48" t="str">
        <f aca="false">IF(V418="","",IFERROR(V418/O418,""))</f>
        <v/>
      </c>
      <c r="X418" s="44"/>
      <c r="Y418" s="46"/>
      <c r="Z418" s="49"/>
      <c r="AA418" s="44"/>
      <c r="AB418" s="50" t="str">
        <f aca="false">IFERROR(INDEX(TABLA_IVA!$C$3:$C$6,MATCH(AA418,TABLA_IVA!$A$3:$A$6,0)),"")</f>
        <v/>
      </c>
      <c r="AC418" s="47"/>
      <c r="AD418" s="44"/>
      <c r="AE418" s="51"/>
      <c r="AF418" s="52" t="str">
        <f aca="false">IF(OR(AC418="",AE418="",AB418=""),"",IFERROR(AC418/(1-AE418)*(1+AB418),""))</f>
        <v/>
      </c>
      <c r="AG418" s="47"/>
      <c r="AH418" s="52" t="str">
        <f aca="false">IF(AD418="FIJO",IF(AG418="","",AG418),IF(AF418&lt;&gt;"",AF418,IF(AG418="","",AG418)))</f>
        <v/>
      </c>
      <c r="AI418" s="52" t="str">
        <f aca="false">IF(OR(AH418="",AB418=""),"",IFERROR(AH418/(1+AB418),""))</f>
        <v/>
      </c>
      <c r="AJ418" s="50" t="str">
        <f aca="false">IF(OR(AI418="",AC418=""),"",IFERROR((AI418-AC418)/AI418,""))</f>
        <v/>
      </c>
      <c r="AK418" s="53" t="str">
        <f aca="false">IF(OR(AJ418="",AE418=""),"",AJ418-AE418)</f>
        <v/>
      </c>
      <c r="AL418" s="54" t="str">
        <f aca="false">IF(OR(AH418="",AF418=""),"",AH418-AF418)</f>
        <v/>
      </c>
      <c r="AM418" s="55" t="str">
        <f aca="false">IF(OR(A418="",K418&lt;&gt;"SI"),"",IF(AE418="","Sin objetivo",IF(AJ418="","Faltan datos",IF(AJ418&lt;0,"PÉRDIDA",IF(AK418&lt;-UMB_CRITICO,"MUY POR DEBAJO",IF(AK418&lt;-UMB_BAJO,"POR DEBAJO",IF(AK418&lt;-UMB_AJUSTADO,"AJUSTADO",IF(AK418&lt;=UMB_ALTO,"EN OBJETIVO","POR ENCIMA"))))))))</f>
        <v/>
      </c>
      <c r="AN418" s="44"/>
      <c r="AO418" s="44"/>
      <c r="AP418" s="46"/>
      <c r="AQ418" s="46"/>
      <c r="AR418" s="46"/>
      <c r="AS418" s="44"/>
      <c r="AT418" s="44"/>
      <c r="AU418" s="44"/>
      <c r="AV418" s="44"/>
      <c r="AW418" s="44"/>
      <c r="AX418" s="45"/>
      <c r="AY418" s="44"/>
      <c r="AZ418" s="56"/>
      <c r="BA418" s="45"/>
    </row>
    <row r="419" customFormat="false" ht="15" hidden="false" customHeight="false" outlineLevel="0" collapsed="false">
      <c r="A419" s="44"/>
      <c r="B419" s="44"/>
      <c r="C419" s="45"/>
      <c r="D419" s="45"/>
      <c r="E419" s="44"/>
      <c r="F419" s="44"/>
      <c r="G419" s="44"/>
      <c r="H419" s="44"/>
      <c r="I419" s="44"/>
      <c r="J419" s="44"/>
      <c r="K419" s="44"/>
      <c r="L419" s="44"/>
      <c r="M419" s="44"/>
      <c r="N419" s="44"/>
      <c r="O419" s="46"/>
      <c r="P419" s="44"/>
      <c r="Q419" s="46"/>
      <c r="R419" s="44"/>
      <c r="S419" s="45"/>
      <c r="T419" s="44"/>
      <c r="U419" s="44"/>
      <c r="V419" s="47"/>
      <c r="W419" s="48" t="str">
        <f aca="false">IF(V419="","",IFERROR(V419/O419,""))</f>
        <v/>
      </c>
      <c r="X419" s="44"/>
      <c r="Y419" s="46"/>
      <c r="Z419" s="49"/>
      <c r="AA419" s="44"/>
      <c r="AB419" s="50" t="str">
        <f aca="false">IFERROR(INDEX(TABLA_IVA!$C$3:$C$6,MATCH(AA419,TABLA_IVA!$A$3:$A$6,0)),"")</f>
        <v/>
      </c>
      <c r="AC419" s="47"/>
      <c r="AD419" s="44"/>
      <c r="AE419" s="51"/>
      <c r="AF419" s="52" t="str">
        <f aca="false">IF(OR(AC419="",AE419="",AB419=""),"",IFERROR(AC419/(1-AE419)*(1+AB419),""))</f>
        <v/>
      </c>
      <c r="AG419" s="47"/>
      <c r="AH419" s="52" t="str">
        <f aca="false">IF(AD419="FIJO",IF(AG419="","",AG419),IF(AF419&lt;&gt;"",AF419,IF(AG419="","",AG419)))</f>
        <v/>
      </c>
      <c r="AI419" s="52" t="str">
        <f aca="false">IF(OR(AH419="",AB419=""),"",IFERROR(AH419/(1+AB419),""))</f>
        <v/>
      </c>
      <c r="AJ419" s="50" t="str">
        <f aca="false">IF(OR(AI419="",AC419=""),"",IFERROR((AI419-AC419)/AI419,""))</f>
        <v/>
      </c>
      <c r="AK419" s="53" t="str">
        <f aca="false">IF(OR(AJ419="",AE419=""),"",AJ419-AE419)</f>
        <v/>
      </c>
      <c r="AL419" s="54" t="str">
        <f aca="false">IF(OR(AH419="",AF419=""),"",AH419-AF419)</f>
        <v/>
      </c>
      <c r="AM419" s="55" t="str">
        <f aca="false">IF(OR(A419="",K419&lt;&gt;"SI"),"",IF(AE419="","Sin objetivo",IF(AJ419="","Faltan datos",IF(AJ419&lt;0,"PÉRDIDA",IF(AK419&lt;-UMB_CRITICO,"MUY POR DEBAJO",IF(AK419&lt;-UMB_BAJO,"POR DEBAJO",IF(AK419&lt;-UMB_AJUSTADO,"AJUSTADO",IF(AK419&lt;=UMB_ALTO,"EN OBJETIVO","POR ENCIMA"))))))))</f>
        <v/>
      </c>
      <c r="AN419" s="44"/>
      <c r="AO419" s="44"/>
      <c r="AP419" s="46"/>
      <c r="AQ419" s="46"/>
      <c r="AR419" s="46"/>
      <c r="AS419" s="44"/>
      <c r="AT419" s="44"/>
      <c r="AU419" s="44"/>
      <c r="AV419" s="44"/>
      <c r="AW419" s="44"/>
      <c r="AX419" s="45"/>
      <c r="AY419" s="44"/>
      <c r="AZ419" s="56"/>
      <c r="BA419" s="45"/>
    </row>
    <row r="420" customFormat="false" ht="15" hidden="false" customHeight="false" outlineLevel="0" collapsed="false">
      <c r="A420" s="44"/>
      <c r="B420" s="44"/>
      <c r="C420" s="45"/>
      <c r="D420" s="45"/>
      <c r="E420" s="44"/>
      <c r="F420" s="44"/>
      <c r="G420" s="44"/>
      <c r="H420" s="44"/>
      <c r="I420" s="44"/>
      <c r="J420" s="44"/>
      <c r="K420" s="44"/>
      <c r="L420" s="44"/>
      <c r="M420" s="44"/>
      <c r="N420" s="44"/>
      <c r="O420" s="46"/>
      <c r="P420" s="44"/>
      <c r="Q420" s="46"/>
      <c r="R420" s="44"/>
      <c r="S420" s="45"/>
      <c r="T420" s="44"/>
      <c r="U420" s="44"/>
      <c r="V420" s="47"/>
      <c r="W420" s="48" t="str">
        <f aca="false">IF(V420="","",IFERROR(V420/O420,""))</f>
        <v/>
      </c>
      <c r="X420" s="44"/>
      <c r="Y420" s="46"/>
      <c r="Z420" s="49"/>
      <c r="AA420" s="44"/>
      <c r="AB420" s="50" t="str">
        <f aca="false">IFERROR(INDEX(TABLA_IVA!$C$3:$C$6,MATCH(AA420,TABLA_IVA!$A$3:$A$6,0)),"")</f>
        <v/>
      </c>
      <c r="AC420" s="47"/>
      <c r="AD420" s="44"/>
      <c r="AE420" s="51"/>
      <c r="AF420" s="52" t="str">
        <f aca="false">IF(OR(AC420="",AE420="",AB420=""),"",IFERROR(AC420/(1-AE420)*(1+AB420),""))</f>
        <v/>
      </c>
      <c r="AG420" s="47"/>
      <c r="AH420" s="52" t="str">
        <f aca="false">IF(AD420="FIJO",IF(AG420="","",AG420),IF(AF420&lt;&gt;"",AF420,IF(AG420="","",AG420)))</f>
        <v/>
      </c>
      <c r="AI420" s="52" t="str">
        <f aca="false">IF(OR(AH420="",AB420=""),"",IFERROR(AH420/(1+AB420),""))</f>
        <v/>
      </c>
      <c r="AJ420" s="50" t="str">
        <f aca="false">IF(OR(AI420="",AC420=""),"",IFERROR((AI420-AC420)/AI420,""))</f>
        <v/>
      </c>
      <c r="AK420" s="53" t="str">
        <f aca="false">IF(OR(AJ420="",AE420=""),"",AJ420-AE420)</f>
        <v/>
      </c>
      <c r="AL420" s="54" t="str">
        <f aca="false">IF(OR(AH420="",AF420=""),"",AH420-AF420)</f>
        <v/>
      </c>
      <c r="AM420" s="55" t="str">
        <f aca="false">IF(OR(A420="",K420&lt;&gt;"SI"),"",IF(AE420="","Sin objetivo",IF(AJ420="","Faltan datos",IF(AJ420&lt;0,"PÉRDIDA",IF(AK420&lt;-UMB_CRITICO,"MUY POR DEBAJO",IF(AK420&lt;-UMB_BAJO,"POR DEBAJO",IF(AK420&lt;-UMB_AJUSTADO,"AJUSTADO",IF(AK420&lt;=UMB_ALTO,"EN OBJETIVO","POR ENCIMA"))))))))</f>
        <v/>
      </c>
      <c r="AN420" s="44"/>
      <c r="AO420" s="44"/>
      <c r="AP420" s="46"/>
      <c r="AQ420" s="46"/>
      <c r="AR420" s="46"/>
      <c r="AS420" s="44"/>
      <c r="AT420" s="44"/>
      <c r="AU420" s="44"/>
      <c r="AV420" s="44"/>
      <c r="AW420" s="44"/>
      <c r="AX420" s="45"/>
      <c r="AY420" s="44"/>
      <c r="AZ420" s="56"/>
      <c r="BA420" s="45"/>
    </row>
    <row r="421" customFormat="false" ht="15" hidden="false" customHeight="false" outlineLevel="0" collapsed="false">
      <c r="A421" s="44"/>
      <c r="B421" s="44"/>
      <c r="C421" s="45"/>
      <c r="D421" s="45"/>
      <c r="E421" s="44"/>
      <c r="F421" s="44"/>
      <c r="G421" s="44"/>
      <c r="H421" s="44"/>
      <c r="I421" s="44"/>
      <c r="J421" s="44"/>
      <c r="K421" s="44"/>
      <c r="L421" s="44"/>
      <c r="M421" s="44"/>
      <c r="N421" s="44"/>
      <c r="O421" s="46"/>
      <c r="P421" s="44"/>
      <c r="Q421" s="46"/>
      <c r="R421" s="44"/>
      <c r="S421" s="45"/>
      <c r="T421" s="44"/>
      <c r="U421" s="44"/>
      <c r="V421" s="47"/>
      <c r="W421" s="48" t="str">
        <f aca="false">IF(V421="","",IFERROR(V421/O421,""))</f>
        <v/>
      </c>
      <c r="X421" s="44"/>
      <c r="Y421" s="46"/>
      <c r="Z421" s="49"/>
      <c r="AA421" s="44"/>
      <c r="AB421" s="50" t="str">
        <f aca="false">IFERROR(INDEX(TABLA_IVA!$C$3:$C$6,MATCH(AA421,TABLA_IVA!$A$3:$A$6,0)),"")</f>
        <v/>
      </c>
      <c r="AC421" s="47"/>
      <c r="AD421" s="44"/>
      <c r="AE421" s="51"/>
      <c r="AF421" s="52" t="str">
        <f aca="false">IF(OR(AC421="",AE421="",AB421=""),"",IFERROR(AC421/(1-AE421)*(1+AB421),""))</f>
        <v/>
      </c>
      <c r="AG421" s="47"/>
      <c r="AH421" s="52" t="str">
        <f aca="false">IF(AD421="FIJO",IF(AG421="","",AG421),IF(AF421&lt;&gt;"",AF421,IF(AG421="","",AG421)))</f>
        <v/>
      </c>
      <c r="AI421" s="52" t="str">
        <f aca="false">IF(OR(AH421="",AB421=""),"",IFERROR(AH421/(1+AB421),""))</f>
        <v/>
      </c>
      <c r="AJ421" s="50" t="str">
        <f aca="false">IF(OR(AI421="",AC421=""),"",IFERROR((AI421-AC421)/AI421,""))</f>
        <v/>
      </c>
      <c r="AK421" s="53" t="str">
        <f aca="false">IF(OR(AJ421="",AE421=""),"",AJ421-AE421)</f>
        <v/>
      </c>
      <c r="AL421" s="54" t="str">
        <f aca="false">IF(OR(AH421="",AF421=""),"",AH421-AF421)</f>
        <v/>
      </c>
      <c r="AM421" s="55" t="str">
        <f aca="false">IF(OR(A421="",K421&lt;&gt;"SI"),"",IF(AE421="","Sin objetivo",IF(AJ421="","Faltan datos",IF(AJ421&lt;0,"PÉRDIDA",IF(AK421&lt;-UMB_CRITICO,"MUY POR DEBAJO",IF(AK421&lt;-UMB_BAJO,"POR DEBAJO",IF(AK421&lt;-UMB_AJUSTADO,"AJUSTADO",IF(AK421&lt;=UMB_ALTO,"EN OBJETIVO","POR ENCIMA"))))))))</f>
        <v/>
      </c>
      <c r="AN421" s="44"/>
      <c r="AO421" s="44"/>
      <c r="AP421" s="46"/>
      <c r="AQ421" s="46"/>
      <c r="AR421" s="46"/>
      <c r="AS421" s="44"/>
      <c r="AT421" s="44"/>
      <c r="AU421" s="44"/>
      <c r="AV421" s="44"/>
      <c r="AW421" s="44"/>
      <c r="AX421" s="45"/>
      <c r="AY421" s="44"/>
      <c r="AZ421" s="56"/>
      <c r="BA421" s="45"/>
    </row>
    <row r="422" customFormat="false" ht="15" hidden="false" customHeight="false" outlineLevel="0" collapsed="false">
      <c r="A422" s="44"/>
      <c r="B422" s="44"/>
      <c r="C422" s="45"/>
      <c r="D422" s="45"/>
      <c r="E422" s="44"/>
      <c r="F422" s="44"/>
      <c r="G422" s="44"/>
      <c r="H422" s="44"/>
      <c r="I422" s="44"/>
      <c r="J422" s="44"/>
      <c r="K422" s="44"/>
      <c r="L422" s="44"/>
      <c r="M422" s="44"/>
      <c r="N422" s="44"/>
      <c r="O422" s="46"/>
      <c r="P422" s="44"/>
      <c r="Q422" s="46"/>
      <c r="R422" s="44"/>
      <c r="S422" s="45"/>
      <c r="T422" s="44"/>
      <c r="U422" s="44"/>
      <c r="V422" s="47"/>
      <c r="W422" s="48" t="str">
        <f aca="false">IF(V422="","",IFERROR(V422/O422,""))</f>
        <v/>
      </c>
      <c r="X422" s="44"/>
      <c r="Y422" s="46"/>
      <c r="Z422" s="49"/>
      <c r="AA422" s="44"/>
      <c r="AB422" s="50" t="str">
        <f aca="false">IFERROR(INDEX(TABLA_IVA!$C$3:$C$6,MATCH(AA422,TABLA_IVA!$A$3:$A$6,0)),"")</f>
        <v/>
      </c>
      <c r="AC422" s="47"/>
      <c r="AD422" s="44"/>
      <c r="AE422" s="51"/>
      <c r="AF422" s="52" t="str">
        <f aca="false">IF(OR(AC422="",AE422="",AB422=""),"",IFERROR(AC422/(1-AE422)*(1+AB422),""))</f>
        <v/>
      </c>
      <c r="AG422" s="47"/>
      <c r="AH422" s="52" t="str">
        <f aca="false">IF(AD422="FIJO",IF(AG422="","",AG422),IF(AF422&lt;&gt;"",AF422,IF(AG422="","",AG422)))</f>
        <v/>
      </c>
      <c r="AI422" s="52" t="str">
        <f aca="false">IF(OR(AH422="",AB422=""),"",IFERROR(AH422/(1+AB422),""))</f>
        <v/>
      </c>
      <c r="AJ422" s="50" t="str">
        <f aca="false">IF(OR(AI422="",AC422=""),"",IFERROR((AI422-AC422)/AI422,""))</f>
        <v/>
      </c>
      <c r="AK422" s="53" t="str">
        <f aca="false">IF(OR(AJ422="",AE422=""),"",AJ422-AE422)</f>
        <v/>
      </c>
      <c r="AL422" s="54" t="str">
        <f aca="false">IF(OR(AH422="",AF422=""),"",AH422-AF422)</f>
        <v/>
      </c>
      <c r="AM422" s="55" t="str">
        <f aca="false">IF(OR(A422="",K422&lt;&gt;"SI"),"",IF(AE422="","Sin objetivo",IF(AJ422="","Faltan datos",IF(AJ422&lt;0,"PÉRDIDA",IF(AK422&lt;-UMB_CRITICO,"MUY POR DEBAJO",IF(AK422&lt;-UMB_BAJO,"POR DEBAJO",IF(AK422&lt;-UMB_AJUSTADO,"AJUSTADO",IF(AK422&lt;=UMB_ALTO,"EN OBJETIVO","POR ENCIMA"))))))))</f>
        <v/>
      </c>
      <c r="AN422" s="44"/>
      <c r="AO422" s="44"/>
      <c r="AP422" s="46"/>
      <c r="AQ422" s="46"/>
      <c r="AR422" s="46"/>
      <c r="AS422" s="44"/>
      <c r="AT422" s="44"/>
      <c r="AU422" s="44"/>
      <c r="AV422" s="44"/>
      <c r="AW422" s="44"/>
      <c r="AX422" s="45"/>
      <c r="AY422" s="44"/>
      <c r="AZ422" s="56"/>
      <c r="BA422" s="45"/>
    </row>
    <row r="423" customFormat="false" ht="15" hidden="false" customHeight="false" outlineLevel="0" collapsed="false">
      <c r="A423" s="44"/>
      <c r="B423" s="44"/>
      <c r="C423" s="45"/>
      <c r="D423" s="45"/>
      <c r="E423" s="44"/>
      <c r="F423" s="44"/>
      <c r="G423" s="44"/>
      <c r="H423" s="44"/>
      <c r="I423" s="44"/>
      <c r="J423" s="44"/>
      <c r="K423" s="44"/>
      <c r="L423" s="44"/>
      <c r="M423" s="44"/>
      <c r="N423" s="44"/>
      <c r="O423" s="46"/>
      <c r="P423" s="44"/>
      <c r="Q423" s="46"/>
      <c r="R423" s="44"/>
      <c r="S423" s="45"/>
      <c r="T423" s="44"/>
      <c r="U423" s="44"/>
      <c r="V423" s="47"/>
      <c r="W423" s="48" t="str">
        <f aca="false">IF(V423="","",IFERROR(V423/O423,""))</f>
        <v/>
      </c>
      <c r="X423" s="44"/>
      <c r="Y423" s="46"/>
      <c r="Z423" s="49"/>
      <c r="AA423" s="44"/>
      <c r="AB423" s="50" t="str">
        <f aca="false">IFERROR(INDEX(TABLA_IVA!$C$3:$C$6,MATCH(AA423,TABLA_IVA!$A$3:$A$6,0)),"")</f>
        <v/>
      </c>
      <c r="AC423" s="47"/>
      <c r="AD423" s="44"/>
      <c r="AE423" s="51"/>
      <c r="AF423" s="52" t="str">
        <f aca="false">IF(OR(AC423="",AE423="",AB423=""),"",IFERROR(AC423/(1-AE423)*(1+AB423),""))</f>
        <v/>
      </c>
      <c r="AG423" s="47"/>
      <c r="AH423" s="52" t="str">
        <f aca="false">IF(AD423="FIJO",IF(AG423="","",AG423),IF(AF423&lt;&gt;"",AF423,IF(AG423="","",AG423)))</f>
        <v/>
      </c>
      <c r="AI423" s="52" t="str">
        <f aca="false">IF(OR(AH423="",AB423=""),"",IFERROR(AH423/(1+AB423),""))</f>
        <v/>
      </c>
      <c r="AJ423" s="50" t="str">
        <f aca="false">IF(OR(AI423="",AC423=""),"",IFERROR((AI423-AC423)/AI423,""))</f>
        <v/>
      </c>
      <c r="AK423" s="53" t="str">
        <f aca="false">IF(OR(AJ423="",AE423=""),"",AJ423-AE423)</f>
        <v/>
      </c>
      <c r="AL423" s="54" t="str">
        <f aca="false">IF(OR(AH423="",AF423=""),"",AH423-AF423)</f>
        <v/>
      </c>
      <c r="AM423" s="55" t="str">
        <f aca="false">IF(OR(A423="",K423&lt;&gt;"SI"),"",IF(AE423="","Sin objetivo",IF(AJ423="","Faltan datos",IF(AJ423&lt;0,"PÉRDIDA",IF(AK423&lt;-UMB_CRITICO,"MUY POR DEBAJO",IF(AK423&lt;-UMB_BAJO,"POR DEBAJO",IF(AK423&lt;-UMB_AJUSTADO,"AJUSTADO",IF(AK423&lt;=UMB_ALTO,"EN OBJETIVO","POR ENCIMA"))))))))</f>
        <v/>
      </c>
      <c r="AN423" s="44"/>
      <c r="AO423" s="44"/>
      <c r="AP423" s="46"/>
      <c r="AQ423" s="46"/>
      <c r="AR423" s="46"/>
      <c r="AS423" s="44"/>
      <c r="AT423" s="44"/>
      <c r="AU423" s="44"/>
      <c r="AV423" s="44"/>
      <c r="AW423" s="44"/>
      <c r="AX423" s="45"/>
      <c r="AY423" s="44"/>
      <c r="AZ423" s="56"/>
      <c r="BA423" s="45"/>
    </row>
    <row r="424" customFormat="false" ht="15" hidden="false" customHeight="false" outlineLevel="0" collapsed="false">
      <c r="A424" s="44"/>
      <c r="B424" s="44"/>
      <c r="C424" s="45"/>
      <c r="D424" s="45"/>
      <c r="E424" s="44"/>
      <c r="F424" s="44"/>
      <c r="G424" s="44"/>
      <c r="H424" s="44"/>
      <c r="I424" s="44"/>
      <c r="J424" s="44"/>
      <c r="K424" s="44"/>
      <c r="L424" s="44"/>
      <c r="M424" s="44"/>
      <c r="N424" s="44"/>
      <c r="O424" s="46"/>
      <c r="P424" s="44"/>
      <c r="Q424" s="46"/>
      <c r="R424" s="44"/>
      <c r="S424" s="45"/>
      <c r="T424" s="44"/>
      <c r="U424" s="44"/>
      <c r="V424" s="47"/>
      <c r="W424" s="48" t="str">
        <f aca="false">IF(V424="","",IFERROR(V424/O424,""))</f>
        <v/>
      </c>
      <c r="X424" s="44"/>
      <c r="Y424" s="46"/>
      <c r="Z424" s="49"/>
      <c r="AA424" s="44"/>
      <c r="AB424" s="50" t="str">
        <f aca="false">IFERROR(INDEX(TABLA_IVA!$C$3:$C$6,MATCH(AA424,TABLA_IVA!$A$3:$A$6,0)),"")</f>
        <v/>
      </c>
      <c r="AC424" s="47"/>
      <c r="AD424" s="44"/>
      <c r="AE424" s="51"/>
      <c r="AF424" s="52" t="str">
        <f aca="false">IF(OR(AC424="",AE424="",AB424=""),"",IFERROR(AC424/(1-AE424)*(1+AB424),""))</f>
        <v/>
      </c>
      <c r="AG424" s="47"/>
      <c r="AH424" s="52" t="str">
        <f aca="false">IF(AD424="FIJO",IF(AG424="","",AG424),IF(AF424&lt;&gt;"",AF424,IF(AG424="","",AG424)))</f>
        <v/>
      </c>
      <c r="AI424" s="52" t="str">
        <f aca="false">IF(OR(AH424="",AB424=""),"",IFERROR(AH424/(1+AB424),""))</f>
        <v/>
      </c>
      <c r="AJ424" s="50" t="str">
        <f aca="false">IF(OR(AI424="",AC424=""),"",IFERROR((AI424-AC424)/AI424,""))</f>
        <v/>
      </c>
      <c r="AK424" s="53" t="str">
        <f aca="false">IF(OR(AJ424="",AE424=""),"",AJ424-AE424)</f>
        <v/>
      </c>
      <c r="AL424" s="54" t="str">
        <f aca="false">IF(OR(AH424="",AF424=""),"",AH424-AF424)</f>
        <v/>
      </c>
      <c r="AM424" s="55" t="str">
        <f aca="false">IF(OR(A424="",K424&lt;&gt;"SI"),"",IF(AE424="","Sin objetivo",IF(AJ424="","Faltan datos",IF(AJ424&lt;0,"PÉRDIDA",IF(AK424&lt;-UMB_CRITICO,"MUY POR DEBAJO",IF(AK424&lt;-UMB_BAJO,"POR DEBAJO",IF(AK424&lt;-UMB_AJUSTADO,"AJUSTADO",IF(AK424&lt;=UMB_ALTO,"EN OBJETIVO","POR ENCIMA"))))))))</f>
        <v/>
      </c>
      <c r="AN424" s="44"/>
      <c r="AO424" s="44"/>
      <c r="AP424" s="46"/>
      <c r="AQ424" s="46"/>
      <c r="AR424" s="46"/>
      <c r="AS424" s="44"/>
      <c r="AT424" s="44"/>
      <c r="AU424" s="44"/>
      <c r="AV424" s="44"/>
      <c r="AW424" s="44"/>
      <c r="AX424" s="45"/>
      <c r="AY424" s="44"/>
      <c r="AZ424" s="56"/>
      <c r="BA424" s="45"/>
    </row>
    <row r="425" customFormat="false" ht="15" hidden="false" customHeight="false" outlineLevel="0" collapsed="false">
      <c r="A425" s="44"/>
      <c r="B425" s="44"/>
      <c r="C425" s="45"/>
      <c r="D425" s="45"/>
      <c r="E425" s="44"/>
      <c r="F425" s="44"/>
      <c r="G425" s="44"/>
      <c r="H425" s="44"/>
      <c r="I425" s="44"/>
      <c r="J425" s="44"/>
      <c r="K425" s="44"/>
      <c r="L425" s="44"/>
      <c r="M425" s="44"/>
      <c r="N425" s="44"/>
      <c r="O425" s="46"/>
      <c r="P425" s="44"/>
      <c r="Q425" s="46"/>
      <c r="R425" s="44"/>
      <c r="S425" s="45"/>
      <c r="T425" s="44"/>
      <c r="U425" s="44"/>
      <c r="V425" s="47"/>
      <c r="W425" s="48" t="str">
        <f aca="false">IF(V425="","",IFERROR(V425/O425,""))</f>
        <v/>
      </c>
      <c r="X425" s="44"/>
      <c r="Y425" s="46"/>
      <c r="Z425" s="49"/>
      <c r="AA425" s="44"/>
      <c r="AB425" s="50" t="str">
        <f aca="false">IFERROR(INDEX(TABLA_IVA!$C$3:$C$6,MATCH(AA425,TABLA_IVA!$A$3:$A$6,0)),"")</f>
        <v/>
      </c>
      <c r="AC425" s="47"/>
      <c r="AD425" s="44"/>
      <c r="AE425" s="51"/>
      <c r="AF425" s="52" t="str">
        <f aca="false">IF(OR(AC425="",AE425="",AB425=""),"",IFERROR(AC425/(1-AE425)*(1+AB425),""))</f>
        <v/>
      </c>
      <c r="AG425" s="47"/>
      <c r="AH425" s="52" t="str">
        <f aca="false">IF(AD425="FIJO",IF(AG425="","",AG425),IF(AF425&lt;&gt;"",AF425,IF(AG425="","",AG425)))</f>
        <v/>
      </c>
      <c r="AI425" s="52" t="str">
        <f aca="false">IF(OR(AH425="",AB425=""),"",IFERROR(AH425/(1+AB425),""))</f>
        <v/>
      </c>
      <c r="AJ425" s="50" t="str">
        <f aca="false">IF(OR(AI425="",AC425=""),"",IFERROR((AI425-AC425)/AI425,""))</f>
        <v/>
      </c>
      <c r="AK425" s="53" t="str">
        <f aca="false">IF(OR(AJ425="",AE425=""),"",AJ425-AE425)</f>
        <v/>
      </c>
      <c r="AL425" s="54" t="str">
        <f aca="false">IF(OR(AH425="",AF425=""),"",AH425-AF425)</f>
        <v/>
      </c>
      <c r="AM425" s="55" t="str">
        <f aca="false">IF(OR(A425="",K425&lt;&gt;"SI"),"",IF(AE425="","Sin objetivo",IF(AJ425="","Faltan datos",IF(AJ425&lt;0,"PÉRDIDA",IF(AK425&lt;-UMB_CRITICO,"MUY POR DEBAJO",IF(AK425&lt;-UMB_BAJO,"POR DEBAJO",IF(AK425&lt;-UMB_AJUSTADO,"AJUSTADO",IF(AK425&lt;=UMB_ALTO,"EN OBJETIVO","POR ENCIMA"))))))))</f>
        <v/>
      </c>
      <c r="AN425" s="44"/>
      <c r="AO425" s="44"/>
      <c r="AP425" s="46"/>
      <c r="AQ425" s="46"/>
      <c r="AR425" s="46"/>
      <c r="AS425" s="44"/>
      <c r="AT425" s="44"/>
      <c r="AU425" s="44"/>
      <c r="AV425" s="44"/>
      <c r="AW425" s="44"/>
      <c r="AX425" s="45"/>
      <c r="AY425" s="44"/>
      <c r="AZ425" s="56"/>
      <c r="BA425" s="45"/>
    </row>
    <row r="426" customFormat="false" ht="15" hidden="false" customHeight="false" outlineLevel="0" collapsed="false">
      <c r="A426" s="44"/>
      <c r="B426" s="44"/>
      <c r="C426" s="45"/>
      <c r="D426" s="45"/>
      <c r="E426" s="44"/>
      <c r="F426" s="44"/>
      <c r="G426" s="44"/>
      <c r="H426" s="44"/>
      <c r="I426" s="44"/>
      <c r="J426" s="44"/>
      <c r="K426" s="44"/>
      <c r="L426" s="44"/>
      <c r="M426" s="44"/>
      <c r="N426" s="44"/>
      <c r="O426" s="46"/>
      <c r="P426" s="44"/>
      <c r="Q426" s="46"/>
      <c r="R426" s="44"/>
      <c r="S426" s="45"/>
      <c r="T426" s="44"/>
      <c r="U426" s="44"/>
      <c r="V426" s="47"/>
      <c r="W426" s="48" t="str">
        <f aca="false">IF(V426="","",IFERROR(V426/O426,""))</f>
        <v/>
      </c>
      <c r="X426" s="44"/>
      <c r="Y426" s="46"/>
      <c r="Z426" s="49"/>
      <c r="AA426" s="44"/>
      <c r="AB426" s="50" t="str">
        <f aca="false">IFERROR(INDEX(TABLA_IVA!$C$3:$C$6,MATCH(AA426,TABLA_IVA!$A$3:$A$6,0)),"")</f>
        <v/>
      </c>
      <c r="AC426" s="47"/>
      <c r="AD426" s="44"/>
      <c r="AE426" s="51"/>
      <c r="AF426" s="52" t="str">
        <f aca="false">IF(OR(AC426="",AE426="",AB426=""),"",IFERROR(AC426/(1-AE426)*(1+AB426),""))</f>
        <v/>
      </c>
      <c r="AG426" s="47"/>
      <c r="AH426" s="52" t="str">
        <f aca="false">IF(AD426="FIJO",IF(AG426="","",AG426),IF(AF426&lt;&gt;"",AF426,IF(AG426="","",AG426)))</f>
        <v/>
      </c>
      <c r="AI426" s="52" t="str">
        <f aca="false">IF(OR(AH426="",AB426=""),"",IFERROR(AH426/(1+AB426),""))</f>
        <v/>
      </c>
      <c r="AJ426" s="50" t="str">
        <f aca="false">IF(OR(AI426="",AC426=""),"",IFERROR((AI426-AC426)/AI426,""))</f>
        <v/>
      </c>
      <c r="AK426" s="53" t="str">
        <f aca="false">IF(OR(AJ426="",AE426=""),"",AJ426-AE426)</f>
        <v/>
      </c>
      <c r="AL426" s="54" t="str">
        <f aca="false">IF(OR(AH426="",AF426=""),"",AH426-AF426)</f>
        <v/>
      </c>
      <c r="AM426" s="55" t="str">
        <f aca="false">IF(OR(A426="",K426&lt;&gt;"SI"),"",IF(AE426="","Sin objetivo",IF(AJ426="","Faltan datos",IF(AJ426&lt;0,"PÉRDIDA",IF(AK426&lt;-UMB_CRITICO,"MUY POR DEBAJO",IF(AK426&lt;-UMB_BAJO,"POR DEBAJO",IF(AK426&lt;-UMB_AJUSTADO,"AJUSTADO",IF(AK426&lt;=UMB_ALTO,"EN OBJETIVO","POR ENCIMA"))))))))</f>
        <v/>
      </c>
      <c r="AN426" s="44"/>
      <c r="AO426" s="44"/>
      <c r="AP426" s="46"/>
      <c r="AQ426" s="46"/>
      <c r="AR426" s="46"/>
      <c r="AS426" s="44"/>
      <c r="AT426" s="44"/>
      <c r="AU426" s="44"/>
      <c r="AV426" s="44"/>
      <c r="AW426" s="44"/>
      <c r="AX426" s="45"/>
      <c r="AY426" s="44"/>
      <c r="AZ426" s="56"/>
      <c r="BA426" s="45"/>
    </row>
    <row r="427" customFormat="false" ht="15" hidden="false" customHeight="false" outlineLevel="0" collapsed="false">
      <c r="A427" s="44"/>
      <c r="B427" s="44"/>
      <c r="C427" s="45"/>
      <c r="D427" s="45"/>
      <c r="E427" s="44"/>
      <c r="F427" s="44"/>
      <c r="G427" s="44"/>
      <c r="H427" s="44"/>
      <c r="I427" s="44"/>
      <c r="J427" s="44"/>
      <c r="K427" s="44"/>
      <c r="L427" s="44"/>
      <c r="M427" s="44"/>
      <c r="N427" s="44"/>
      <c r="O427" s="46"/>
      <c r="P427" s="44"/>
      <c r="Q427" s="46"/>
      <c r="R427" s="44"/>
      <c r="S427" s="45"/>
      <c r="T427" s="44"/>
      <c r="U427" s="44"/>
      <c r="V427" s="47"/>
      <c r="W427" s="48" t="str">
        <f aca="false">IF(V427="","",IFERROR(V427/O427,""))</f>
        <v/>
      </c>
      <c r="X427" s="44"/>
      <c r="Y427" s="46"/>
      <c r="Z427" s="49"/>
      <c r="AA427" s="44"/>
      <c r="AB427" s="50" t="str">
        <f aca="false">IFERROR(INDEX(TABLA_IVA!$C$3:$C$6,MATCH(AA427,TABLA_IVA!$A$3:$A$6,0)),"")</f>
        <v/>
      </c>
      <c r="AC427" s="47"/>
      <c r="AD427" s="44"/>
      <c r="AE427" s="51"/>
      <c r="AF427" s="52" t="str">
        <f aca="false">IF(OR(AC427="",AE427="",AB427=""),"",IFERROR(AC427/(1-AE427)*(1+AB427),""))</f>
        <v/>
      </c>
      <c r="AG427" s="47"/>
      <c r="AH427" s="52" t="str">
        <f aca="false">IF(AD427="FIJO",IF(AG427="","",AG427),IF(AF427&lt;&gt;"",AF427,IF(AG427="","",AG427)))</f>
        <v/>
      </c>
      <c r="AI427" s="52" t="str">
        <f aca="false">IF(OR(AH427="",AB427=""),"",IFERROR(AH427/(1+AB427),""))</f>
        <v/>
      </c>
      <c r="AJ427" s="50" t="str">
        <f aca="false">IF(OR(AI427="",AC427=""),"",IFERROR((AI427-AC427)/AI427,""))</f>
        <v/>
      </c>
      <c r="AK427" s="53" t="str">
        <f aca="false">IF(OR(AJ427="",AE427=""),"",AJ427-AE427)</f>
        <v/>
      </c>
      <c r="AL427" s="54" t="str">
        <f aca="false">IF(OR(AH427="",AF427=""),"",AH427-AF427)</f>
        <v/>
      </c>
      <c r="AM427" s="55" t="str">
        <f aca="false">IF(OR(A427="",K427&lt;&gt;"SI"),"",IF(AE427="","Sin objetivo",IF(AJ427="","Faltan datos",IF(AJ427&lt;0,"PÉRDIDA",IF(AK427&lt;-UMB_CRITICO,"MUY POR DEBAJO",IF(AK427&lt;-UMB_BAJO,"POR DEBAJO",IF(AK427&lt;-UMB_AJUSTADO,"AJUSTADO",IF(AK427&lt;=UMB_ALTO,"EN OBJETIVO","POR ENCIMA"))))))))</f>
        <v/>
      </c>
      <c r="AN427" s="44"/>
      <c r="AO427" s="44"/>
      <c r="AP427" s="46"/>
      <c r="AQ427" s="46"/>
      <c r="AR427" s="46"/>
      <c r="AS427" s="44"/>
      <c r="AT427" s="44"/>
      <c r="AU427" s="44"/>
      <c r="AV427" s="44"/>
      <c r="AW427" s="44"/>
      <c r="AX427" s="45"/>
      <c r="AY427" s="44"/>
      <c r="AZ427" s="56"/>
      <c r="BA427" s="45"/>
    </row>
    <row r="428" customFormat="false" ht="15" hidden="false" customHeight="false" outlineLevel="0" collapsed="false">
      <c r="A428" s="44"/>
      <c r="B428" s="44"/>
      <c r="C428" s="45"/>
      <c r="D428" s="45"/>
      <c r="E428" s="44"/>
      <c r="F428" s="44"/>
      <c r="G428" s="44"/>
      <c r="H428" s="44"/>
      <c r="I428" s="44"/>
      <c r="J428" s="44"/>
      <c r="K428" s="44"/>
      <c r="L428" s="44"/>
      <c r="M428" s="44"/>
      <c r="N428" s="44"/>
      <c r="O428" s="46"/>
      <c r="P428" s="44"/>
      <c r="Q428" s="46"/>
      <c r="R428" s="44"/>
      <c r="S428" s="45"/>
      <c r="T428" s="44"/>
      <c r="U428" s="44"/>
      <c r="V428" s="47"/>
      <c r="W428" s="48" t="str">
        <f aca="false">IF(V428="","",IFERROR(V428/O428,""))</f>
        <v/>
      </c>
      <c r="X428" s="44"/>
      <c r="Y428" s="46"/>
      <c r="Z428" s="49"/>
      <c r="AA428" s="44"/>
      <c r="AB428" s="50" t="str">
        <f aca="false">IFERROR(INDEX(TABLA_IVA!$C$3:$C$6,MATCH(AA428,TABLA_IVA!$A$3:$A$6,0)),"")</f>
        <v/>
      </c>
      <c r="AC428" s="47"/>
      <c r="AD428" s="44"/>
      <c r="AE428" s="51"/>
      <c r="AF428" s="52" t="str">
        <f aca="false">IF(OR(AC428="",AE428="",AB428=""),"",IFERROR(AC428/(1-AE428)*(1+AB428),""))</f>
        <v/>
      </c>
      <c r="AG428" s="47"/>
      <c r="AH428" s="52" t="str">
        <f aca="false">IF(AD428="FIJO",IF(AG428="","",AG428),IF(AF428&lt;&gt;"",AF428,IF(AG428="","",AG428)))</f>
        <v/>
      </c>
      <c r="AI428" s="52" t="str">
        <f aca="false">IF(OR(AH428="",AB428=""),"",IFERROR(AH428/(1+AB428),""))</f>
        <v/>
      </c>
      <c r="AJ428" s="50" t="str">
        <f aca="false">IF(OR(AI428="",AC428=""),"",IFERROR((AI428-AC428)/AI428,""))</f>
        <v/>
      </c>
      <c r="AK428" s="53" t="str">
        <f aca="false">IF(OR(AJ428="",AE428=""),"",AJ428-AE428)</f>
        <v/>
      </c>
      <c r="AL428" s="54" t="str">
        <f aca="false">IF(OR(AH428="",AF428=""),"",AH428-AF428)</f>
        <v/>
      </c>
      <c r="AM428" s="55" t="str">
        <f aca="false">IF(OR(A428="",K428&lt;&gt;"SI"),"",IF(AE428="","Sin objetivo",IF(AJ428="","Faltan datos",IF(AJ428&lt;0,"PÉRDIDA",IF(AK428&lt;-UMB_CRITICO,"MUY POR DEBAJO",IF(AK428&lt;-UMB_BAJO,"POR DEBAJO",IF(AK428&lt;-UMB_AJUSTADO,"AJUSTADO",IF(AK428&lt;=UMB_ALTO,"EN OBJETIVO","POR ENCIMA"))))))))</f>
        <v/>
      </c>
      <c r="AN428" s="44"/>
      <c r="AO428" s="44"/>
      <c r="AP428" s="46"/>
      <c r="AQ428" s="46"/>
      <c r="AR428" s="46"/>
      <c r="AS428" s="44"/>
      <c r="AT428" s="44"/>
      <c r="AU428" s="44"/>
      <c r="AV428" s="44"/>
      <c r="AW428" s="44"/>
      <c r="AX428" s="45"/>
      <c r="AY428" s="44"/>
      <c r="AZ428" s="56"/>
      <c r="BA428" s="45"/>
    </row>
    <row r="429" customFormat="false" ht="15" hidden="false" customHeight="false" outlineLevel="0" collapsed="false">
      <c r="A429" s="44"/>
      <c r="B429" s="44"/>
      <c r="C429" s="45"/>
      <c r="D429" s="45"/>
      <c r="E429" s="44"/>
      <c r="F429" s="44"/>
      <c r="G429" s="44"/>
      <c r="H429" s="44"/>
      <c r="I429" s="44"/>
      <c r="J429" s="44"/>
      <c r="K429" s="44"/>
      <c r="L429" s="44"/>
      <c r="M429" s="44"/>
      <c r="N429" s="44"/>
      <c r="O429" s="46"/>
      <c r="P429" s="44"/>
      <c r="Q429" s="46"/>
      <c r="R429" s="44"/>
      <c r="S429" s="45"/>
      <c r="T429" s="44"/>
      <c r="U429" s="44"/>
      <c r="V429" s="47"/>
      <c r="W429" s="48" t="str">
        <f aca="false">IF(V429="","",IFERROR(V429/O429,""))</f>
        <v/>
      </c>
      <c r="X429" s="44"/>
      <c r="Y429" s="46"/>
      <c r="Z429" s="49"/>
      <c r="AA429" s="44"/>
      <c r="AB429" s="50" t="str">
        <f aca="false">IFERROR(INDEX(TABLA_IVA!$C$3:$C$6,MATCH(AA429,TABLA_IVA!$A$3:$A$6,0)),"")</f>
        <v/>
      </c>
      <c r="AC429" s="47"/>
      <c r="AD429" s="44"/>
      <c r="AE429" s="51"/>
      <c r="AF429" s="52" t="str">
        <f aca="false">IF(OR(AC429="",AE429="",AB429=""),"",IFERROR(AC429/(1-AE429)*(1+AB429),""))</f>
        <v/>
      </c>
      <c r="AG429" s="47"/>
      <c r="AH429" s="52" t="str">
        <f aca="false">IF(AD429="FIJO",IF(AG429="","",AG429),IF(AF429&lt;&gt;"",AF429,IF(AG429="","",AG429)))</f>
        <v/>
      </c>
      <c r="AI429" s="52" t="str">
        <f aca="false">IF(OR(AH429="",AB429=""),"",IFERROR(AH429/(1+AB429),""))</f>
        <v/>
      </c>
      <c r="AJ429" s="50" t="str">
        <f aca="false">IF(OR(AI429="",AC429=""),"",IFERROR((AI429-AC429)/AI429,""))</f>
        <v/>
      </c>
      <c r="AK429" s="53" t="str">
        <f aca="false">IF(OR(AJ429="",AE429=""),"",AJ429-AE429)</f>
        <v/>
      </c>
      <c r="AL429" s="54" t="str">
        <f aca="false">IF(OR(AH429="",AF429=""),"",AH429-AF429)</f>
        <v/>
      </c>
      <c r="AM429" s="55" t="str">
        <f aca="false">IF(OR(A429="",K429&lt;&gt;"SI"),"",IF(AE429="","Sin objetivo",IF(AJ429="","Faltan datos",IF(AJ429&lt;0,"PÉRDIDA",IF(AK429&lt;-UMB_CRITICO,"MUY POR DEBAJO",IF(AK429&lt;-UMB_BAJO,"POR DEBAJO",IF(AK429&lt;-UMB_AJUSTADO,"AJUSTADO",IF(AK429&lt;=UMB_ALTO,"EN OBJETIVO","POR ENCIMA"))))))))</f>
        <v/>
      </c>
      <c r="AN429" s="44"/>
      <c r="AO429" s="44"/>
      <c r="AP429" s="46"/>
      <c r="AQ429" s="46"/>
      <c r="AR429" s="46"/>
      <c r="AS429" s="44"/>
      <c r="AT429" s="44"/>
      <c r="AU429" s="44"/>
      <c r="AV429" s="44"/>
      <c r="AW429" s="44"/>
      <c r="AX429" s="45"/>
      <c r="AY429" s="44"/>
      <c r="AZ429" s="56"/>
      <c r="BA429" s="45"/>
    </row>
    <row r="430" customFormat="false" ht="15" hidden="false" customHeight="false" outlineLevel="0" collapsed="false">
      <c r="A430" s="44"/>
      <c r="B430" s="44"/>
      <c r="C430" s="45"/>
      <c r="D430" s="45"/>
      <c r="E430" s="44"/>
      <c r="F430" s="44"/>
      <c r="G430" s="44"/>
      <c r="H430" s="44"/>
      <c r="I430" s="44"/>
      <c r="J430" s="44"/>
      <c r="K430" s="44"/>
      <c r="L430" s="44"/>
      <c r="M430" s="44"/>
      <c r="N430" s="44"/>
      <c r="O430" s="46"/>
      <c r="P430" s="44"/>
      <c r="Q430" s="46"/>
      <c r="R430" s="44"/>
      <c r="S430" s="45"/>
      <c r="T430" s="44"/>
      <c r="U430" s="44"/>
      <c r="V430" s="47"/>
      <c r="W430" s="48" t="str">
        <f aca="false">IF(V430="","",IFERROR(V430/O430,""))</f>
        <v/>
      </c>
      <c r="X430" s="44"/>
      <c r="Y430" s="46"/>
      <c r="Z430" s="49"/>
      <c r="AA430" s="44"/>
      <c r="AB430" s="50" t="str">
        <f aca="false">IFERROR(INDEX(TABLA_IVA!$C$3:$C$6,MATCH(AA430,TABLA_IVA!$A$3:$A$6,0)),"")</f>
        <v/>
      </c>
      <c r="AC430" s="47"/>
      <c r="AD430" s="44"/>
      <c r="AE430" s="51"/>
      <c r="AF430" s="52" t="str">
        <f aca="false">IF(OR(AC430="",AE430="",AB430=""),"",IFERROR(AC430/(1-AE430)*(1+AB430),""))</f>
        <v/>
      </c>
      <c r="AG430" s="47"/>
      <c r="AH430" s="52" t="str">
        <f aca="false">IF(AD430="FIJO",IF(AG430="","",AG430),IF(AF430&lt;&gt;"",AF430,IF(AG430="","",AG430)))</f>
        <v/>
      </c>
      <c r="AI430" s="52" t="str">
        <f aca="false">IF(OR(AH430="",AB430=""),"",IFERROR(AH430/(1+AB430),""))</f>
        <v/>
      </c>
      <c r="AJ430" s="50" t="str">
        <f aca="false">IF(OR(AI430="",AC430=""),"",IFERROR((AI430-AC430)/AI430,""))</f>
        <v/>
      </c>
      <c r="AK430" s="53" t="str">
        <f aca="false">IF(OR(AJ430="",AE430=""),"",AJ430-AE430)</f>
        <v/>
      </c>
      <c r="AL430" s="54" t="str">
        <f aca="false">IF(OR(AH430="",AF430=""),"",AH430-AF430)</f>
        <v/>
      </c>
      <c r="AM430" s="55" t="str">
        <f aca="false">IF(OR(A430="",K430&lt;&gt;"SI"),"",IF(AE430="","Sin objetivo",IF(AJ430="","Faltan datos",IF(AJ430&lt;0,"PÉRDIDA",IF(AK430&lt;-UMB_CRITICO,"MUY POR DEBAJO",IF(AK430&lt;-UMB_BAJO,"POR DEBAJO",IF(AK430&lt;-UMB_AJUSTADO,"AJUSTADO",IF(AK430&lt;=UMB_ALTO,"EN OBJETIVO","POR ENCIMA"))))))))</f>
        <v/>
      </c>
      <c r="AN430" s="44"/>
      <c r="AO430" s="44"/>
      <c r="AP430" s="46"/>
      <c r="AQ430" s="46"/>
      <c r="AR430" s="46"/>
      <c r="AS430" s="44"/>
      <c r="AT430" s="44"/>
      <c r="AU430" s="44"/>
      <c r="AV430" s="44"/>
      <c r="AW430" s="44"/>
      <c r="AX430" s="45"/>
      <c r="AY430" s="44"/>
      <c r="AZ430" s="56"/>
      <c r="BA430" s="45"/>
    </row>
    <row r="431" customFormat="false" ht="15" hidden="false" customHeight="false" outlineLevel="0" collapsed="false">
      <c r="A431" s="44"/>
      <c r="B431" s="44"/>
      <c r="C431" s="45"/>
      <c r="D431" s="45"/>
      <c r="E431" s="44"/>
      <c r="F431" s="44"/>
      <c r="G431" s="44"/>
      <c r="H431" s="44"/>
      <c r="I431" s="44"/>
      <c r="J431" s="44"/>
      <c r="K431" s="44"/>
      <c r="L431" s="44"/>
      <c r="M431" s="44"/>
      <c r="N431" s="44"/>
      <c r="O431" s="46"/>
      <c r="P431" s="44"/>
      <c r="Q431" s="46"/>
      <c r="R431" s="44"/>
      <c r="S431" s="45"/>
      <c r="T431" s="44"/>
      <c r="U431" s="44"/>
      <c r="V431" s="47"/>
      <c r="W431" s="48" t="str">
        <f aca="false">IF(V431="","",IFERROR(V431/O431,""))</f>
        <v/>
      </c>
      <c r="X431" s="44"/>
      <c r="Y431" s="46"/>
      <c r="Z431" s="49"/>
      <c r="AA431" s="44"/>
      <c r="AB431" s="50" t="str">
        <f aca="false">IFERROR(INDEX(TABLA_IVA!$C$3:$C$6,MATCH(AA431,TABLA_IVA!$A$3:$A$6,0)),"")</f>
        <v/>
      </c>
      <c r="AC431" s="47"/>
      <c r="AD431" s="44"/>
      <c r="AE431" s="51"/>
      <c r="AF431" s="52" t="str">
        <f aca="false">IF(OR(AC431="",AE431="",AB431=""),"",IFERROR(AC431/(1-AE431)*(1+AB431),""))</f>
        <v/>
      </c>
      <c r="AG431" s="47"/>
      <c r="AH431" s="52" t="str">
        <f aca="false">IF(AD431="FIJO",IF(AG431="","",AG431),IF(AF431&lt;&gt;"",AF431,IF(AG431="","",AG431)))</f>
        <v/>
      </c>
      <c r="AI431" s="52" t="str">
        <f aca="false">IF(OR(AH431="",AB431=""),"",IFERROR(AH431/(1+AB431),""))</f>
        <v/>
      </c>
      <c r="AJ431" s="50" t="str">
        <f aca="false">IF(OR(AI431="",AC431=""),"",IFERROR((AI431-AC431)/AI431,""))</f>
        <v/>
      </c>
      <c r="AK431" s="53" t="str">
        <f aca="false">IF(OR(AJ431="",AE431=""),"",AJ431-AE431)</f>
        <v/>
      </c>
      <c r="AL431" s="54" t="str">
        <f aca="false">IF(OR(AH431="",AF431=""),"",AH431-AF431)</f>
        <v/>
      </c>
      <c r="AM431" s="55" t="str">
        <f aca="false">IF(OR(A431="",K431&lt;&gt;"SI"),"",IF(AE431="","Sin objetivo",IF(AJ431="","Faltan datos",IF(AJ431&lt;0,"PÉRDIDA",IF(AK431&lt;-UMB_CRITICO,"MUY POR DEBAJO",IF(AK431&lt;-UMB_BAJO,"POR DEBAJO",IF(AK431&lt;-UMB_AJUSTADO,"AJUSTADO",IF(AK431&lt;=UMB_ALTO,"EN OBJETIVO","POR ENCIMA"))))))))</f>
        <v/>
      </c>
      <c r="AN431" s="44"/>
      <c r="AO431" s="44"/>
      <c r="AP431" s="46"/>
      <c r="AQ431" s="46"/>
      <c r="AR431" s="46"/>
      <c r="AS431" s="44"/>
      <c r="AT431" s="44"/>
      <c r="AU431" s="44"/>
      <c r="AV431" s="44"/>
      <c r="AW431" s="44"/>
      <c r="AX431" s="45"/>
      <c r="AY431" s="44"/>
      <c r="AZ431" s="56"/>
      <c r="BA431" s="45"/>
    </row>
    <row r="432" customFormat="false" ht="15" hidden="false" customHeight="false" outlineLevel="0" collapsed="false">
      <c r="A432" s="44"/>
      <c r="B432" s="44"/>
      <c r="C432" s="45"/>
      <c r="D432" s="45"/>
      <c r="E432" s="44"/>
      <c r="F432" s="44"/>
      <c r="G432" s="44"/>
      <c r="H432" s="44"/>
      <c r="I432" s="44"/>
      <c r="J432" s="44"/>
      <c r="K432" s="44"/>
      <c r="L432" s="44"/>
      <c r="M432" s="44"/>
      <c r="N432" s="44"/>
      <c r="O432" s="46"/>
      <c r="P432" s="44"/>
      <c r="Q432" s="46"/>
      <c r="R432" s="44"/>
      <c r="S432" s="45"/>
      <c r="T432" s="44"/>
      <c r="U432" s="44"/>
      <c r="V432" s="47"/>
      <c r="W432" s="48" t="str">
        <f aca="false">IF(V432="","",IFERROR(V432/O432,""))</f>
        <v/>
      </c>
      <c r="X432" s="44"/>
      <c r="Y432" s="46"/>
      <c r="Z432" s="49"/>
      <c r="AA432" s="44"/>
      <c r="AB432" s="50" t="str">
        <f aca="false">IFERROR(INDEX(TABLA_IVA!$C$3:$C$6,MATCH(AA432,TABLA_IVA!$A$3:$A$6,0)),"")</f>
        <v/>
      </c>
      <c r="AC432" s="47"/>
      <c r="AD432" s="44"/>
      <c r="AE432" s="51"/>
      <c r="AF432" s="52" t="str">
        <f aca="false">IF(OR(AC432="",AE432="",AB432=""),"",IFERROR(AC432/(1-AE432)*(1+AB432),""))</f>
        <v/>
      </c>
      <c r="AG432" s="47"/>
      <c r="AH432" s="52" t="str">
        <f aca="false">IF(AD432="FIJO",IF(AG432="","",AG432),IF(AF432&lt;&gt;"",AF432,IF(AG432="","",AG432)))</f>
        <v/>
      </c>
      <c r="AI432" s="52" t="str">
        <f aca="false">IF(OR(AH432="",AB432=""),"",IFERROR(AH432/(1+AB432),""))</f>
        <v/>
      </c>
      <c r="AJ432" s="50" t="str">
        <f aca="false">IF(OR(AI432="",AC432=""),"",IFERROR((AI432-AC432)/AI432,""))</f>
        <v/>
      </c>
      <c r="AK432" s="53" t="str">
        <f aca="false">IF(OR(AJ432="",AE432=""),"",AJ432-AE432)</f>
        <v/>
      </c>
      <c r="AL432" s="54" t="str">
        <f aca="false">IF(OR(AH432="",AF432=""),"",AH432-AF432)</f>
        <v/>
      </c>
      <c r="AM432" s="55" t="str">
        <f aca="false">IF(OR(A432="",K432&lt;&gt;"SI"),"",IF(AE432="","Sin objetivo",IF(AJ432="","Faltan datos",IF(AJ432&lt;0,"PÉRDIDA",IF(AK432&lt;-UMB_CRITICO,"MUY POR DEBAJO",IF(AK432&lt;-UMB_BAJO,"POR DEBAJO",IF(AK432&lt;-UMB_AJUSTADO,"AJUSTADO",IF(AK432&lt;=UMB_ALTO,"EN OBJETIVO","POR ENCIMA"))))))))</f>
        <v/>
      </c>
      <c r="AN432" s="44"/>
      <c r="AO432" s="44"/>
      <c r="AP432" s="46"/>
      <c r="AQ432" s="46"/>
      <c r="AR432" s="46"/>
      <c r="AS432" s="44"/>
      <c r="AT432" s="44"/>
      <c r="AU432" s="44"/>
      <c r="AV432" s="44"/>
      <c r="AW432" s="44"/>
      <c r="AX432" s="45"/>
      <c r="AY432" s="44"/>
      <c r="AZ432" s="56"/>
      <c r="BA432" s="45"/>
    </row>
    <row r="433" customFormat="false" ht="15" hidden="false" customHeight="false" outlineLevel="0" collapsed="false">
      <c r="A433" s="44"/>
      <c r="B433" s="44"/>
      <c r="C433" s="45"/>
      <c r="D433" s="45"/>
      <c r="E433" s="44"/>
      <c r="F433" s="44"/>
      <c r="G433" s="44"/>
      <c r="H433" s="44"/>
      <c r="I433" s="44"/>
      <c r="J433" s="44"/>
      <c r="K433" s="44"/>
      <c r="L433" s="44"/>
      <c r="M433" s="44"/>
      <c r="N433" s="44"/>
      <c r="O433" s="46"/>
      <c r="P433" s="44"/>
      <c r="Q433" s="46"/>
      <c r="R433" s="44"/>
      <c r="S433" s="45"/>
      <c r="T433" s="44"/>
      <c r="U433" s="44"/>
      <c r="V433" s="47"/>
      <c r="W433" s="48" t="str">
        <f aca="false">IF(V433="","",IFERROR(V433/O433,""))</f>
        <v/>
      </c>
      <c r="X433" s="44"/>
      <c r="Y433" s="46"/>
      <c r="Z433" s="49"/>
      <c r="AA433" s="44"/>
      <c r="AB433" s="50" t="str">
        <f aca="false">IFERROR(INDEX(TABLA_IVA!$C$3:$C$6,MATCH(AA433,TABLA_IVA!$A$3:$A$6,0)),"")</f>
        <v/>
      </c>
      <c r="AC433" s="47"/>
      <c r="AD433" s="44"/>
      <c r="AE433" s="51"/>
      <c r="AF433" s="52" t="str">
        <f aca="false">IF(OR(AC433="",AE433="",AB433=""),"",IFERROR(AC433/(1-AE433)*(1+AB433),""))</f>
        <v/>
      </c>
      <c r="AG433" s="47"/>
      <c r="AH433" s="52" t="str">
        <f aca="false">IF(AD433="FIJO",IF(AG433="","",AG433),IF(AF433&lt;&gt;"",AF433,IF(AG433="","",AG433)))</f>
        <v/>
      </c>
      <c r="AI433" s="52" t="str">
        <f aca="false">IF(OR(AH433="",AB433=""),"",IFERROR(AH433/(1+AB433),""))</f>
        <v/>
      </c>
      <c r="AJ433" s="50" t="str">
        <f aca="false">IF(OR(AI433="",AC433=""),"",IFERROR((AI433-AC433)/AI433,""))</f>
        <v/>
      </c>
      <c r="AK433" s="53" t="str">
        <f aca="false">IF(OR(AJ433="",AE433=""),"",AJ433-AE433)</f>
        <v/>
      </c>
      <c r="AL433" s="54" t="str">
        <f aca="false">IF(OR(AH433="",AF433=""),"",AH433-AF433)</f>
        <v/>
      </c>
      <c r="AM433" s="55" t="str">
        <f aca="false">IF(OR(A433="",K433&lt;&gt;"SI"),"",IF(AE433="","Sin objetivo",IF(AJ433="","Faltan datos",IF(AJ433&lt;0,"PÉRDIDA",IF(AK433&lt;-UMB_CRITICO,"MUY POR DEBAJO",IF(AK433&lt;-UMB_BAJO,"POR DEBAJO",IF(AK433&lt;-UMB_AJUSTADO,"AJUSTADO",IF(AK433&lt;=UMB_ALTO,"EN OBJETIVO","POR ENCIMA"))))))))</f>
        <v/>
      </c>
      <c r="AN433" s="44"/>
      <c r="AO433" s="44"/>
      <c r="AP433" s="46"/>
      <c r="AQ433" s="46"/>
      <c r="AR433" s="46"/>
      <c r="AS433" s="44"/>
      <c r="AT433" s="44"/>
      <c r="AU433" s="44"/>
      <c r="AV433" s="44"/>
      <c r="AW433" s="44"/>
      <c r="AX433" s="45"/>
      <c r="AY433" s="44"/>
      <c r="AZ433" s="56"/>
      <c r="BA433" s="45"/>
    </row>
    <row r="434" customFormat="false" ht="15" hidden="false" customHeight="false" outlineLevel="0" collapsed="false">
      <c r="A434" s="44"/>
      <c r="B434" s="44"/>
      <c r="C434" s="45"/>
      <c r="D434" s="45"/>
      <c r="E434" s="44"/>
      <c r="F434" s="44"/>
      <c r="G434" s="44"/>
      <c r="H434" s="44"/>
      <c r="I434" s="44"/>
      <c r="J434" s="44"/>
      <c r="K434" s="44"/>
      <c r="L434" s="44"/>
      <c r="M434" s="44"/>
      <c r="N434" s="44"/>
      <c r="O434" s="46"/>
      <c r="P434" s="44"/>
      <c r="Q434" s="46"/>
      <c r="R434" s="44"/>
      <c r="S434" s="45"/>
      <c r="T434" s="44"/>
      <c r="U434" s="44"/>
      <c r="V434" s="47"/>
      <c r="W434" s="48" t="str">
        <f aca="false">IF(V434="","",IFERROR(V434/O434,""))</f>
        <v/>
      </c>
      <c r="X434" s="44"/>
      <c r="Y434" s="46"/>
      <c r="Z434" s="49"/>
      <c r="AA434" s="44"/>
      <c r="AB434" s="50" t="str">
        <f aca="false">IFERROR(INDEX(TABLA_IVA!$C$3:$C$6,MATCH(AA434,TABLA_IVA!$A$3:$A$6,0)),"")</f>
        <v/>
      </c>
      <c r="AC434" s="47"/>
      <c r="AD434" s="44"/>
      <c r="AE434" s="51"/>
      <c r="AF434" s="52" t="str">
        <f aca="false">IF(OR(AC434="",AE434="",AB434=""),"",IFERROR(AC434/(1-AE434)*(1+AB434),""))</f>
        <v/>
      </c>
      <c r="AG434" s="47"/>
      <c r="AH434" s="52" t="str">
        <f aca="false">IF(AD434="FIJO",IF(AG434="","",AG434),IF(AF434&lt;&gt;"",AF434,IF(AG434="","",AG434)))</f>
        <v/>
      </c>
      <c r="AI434" s="52" t="str">
        <f aca="false">IF(OR(AH434="",AB434=""),"",IFERROR(AH434/(1+AB434),""))</f>
        <v/>
      </c>
      <c r="AJ434" s="50" t="str">
        <f aca="false">IF(OR(AI434="",AC434=""),"",IFERROR((AI434-AC434)/AI434,""))</f>
        <v/>
      </c>
      <c r="AK434" s="53" t="str">
        <f aca="false">IF(OR(AJ434="",AE434=""),"",AJ434-AE434)</f>
        <v/>
      </c>
      <c r="AL434" s="54" t="str">
        <f aca="false">IF(OR(AH434="",AF434=""),"",AH434-AF434)</f>
        <v/>
      </c>
      <c r="AM434" s="55" t="str">
        <f aca="false">IF(OR(A434="",K434&lt;&gt;"SI"),"",IF(AE434="","Sin objetivo",IF(AJ434="","Faltan datos",IF(AJ434&lt;0,"PÉRDIDA",IF(AK434&lt;-UMB_CRITICO,"MUY POR DEBAJO",IF(AK434&lt;-UMB_BAJO,"POR DEBAJO",IF(AK434&lt;-UMB_AJUSTADO,"AJUSTADO",IF(AK434&lt;=UMB_ALTO,"EN OBJETIVO","POR ENCIMA"))))))))</f>
        <v/>
      </c>
      <c r="AN434" s="44"/>
      <c r="AO434" s="44"/>
      <c r="AP434" s="46"/>
      <c r="AQ434" s="46"/>
      <c r="AR434" s="46"/>
      <c r="AS434" s="44"/>
      <c r="AT434" s="44"/>
      <c r="AU434" s="44"/>
      <c r="AV434" s="44"/>
      <c r="AW434" s="44"/>
      <c r="AX434" s="45"/>
      <c r="AY434" s="44"/>
      <c r="AZ434" s="56"/>
      <c r="BA434" s="45"/>
    </row>
    <row r="435" customFormat="false" ht="15" hidden="false" customHeight="false" outlineLevel="0" collapsed="false">
      <c r="A435" s="44"/>
      <c r="B435" s="44"/>
      <c r="C435" s="45"/>
      <c r="D435" s="45"/>
      <c r="E435" s="44"/>
      <c r="F435" s="44"/>
      <c r="G435" s="44"/>
      <c r="H435" s="44"/>
      <c r="I435" s="44"/>
      <c r="J435" s="44"/>
      <c r="K435" s="44"/>
      <c r="L435" s="44"/>
      <c r="M435" s="44"/>
      <c r="N435" s="44"/>
      <c r="O435" s="46"/>
      <c r="P435" s="44"/>
      <c r="Q435" s="46"/>
      <c r="R435" s="44"/>
      <c r="S435" s="45"/>
      <c r="T435" s="44"/>
      <c r="U435" s="44"/>
      <c r="V435" s="47"/>
      <c r="W435" s="48" t="str">
        <f aca="false">IF(V435="","",IFERROR(V435/O435,""))</f>
        <v/>
      </c>
      <c r="X435" s="44"/>
      <c r="Y435" s="46"/>
      <c r="Z435" s="49"/>
      <c r="AA435" s="44"/>
      <c r="AB435" s="50" t="str">
        <f aca="false">IFERROR(INDEX(TABLA_IVA!$C$3:$C$6,MATCH(AA435,TABLA_IVA!$A$3:$A$6,0)),"")</f>
        <v/>
      </c>
      <c r="AC435" s="47"/>
      <c r="AD435" s="44"/>
      <c r="AE435" s="51"/>
      <c r="AF435" s="52" t="str">
        <f aca="false">IF(OR(AC435="",AE435="",AB435=""),"",IFERROR(AC435/(1-AE435)*(1+AB435),""))</f>
        <v/>
      </c>
      <c r="AG435" s="47"/>
      <c r="AH435" s="52" t="str">
        <f aca="false">IF(AD435="FIJO",IF(AG435="","",AG435),IF(AF435&lt;&gt;"",AF435,IF(AG435="","",AG435)))</f>
        <v/>
      </c>
      <c r="AI435" s="52" t="str">
        <f aca="false">IF(OR(AH435="",AB435=""),"",IFERROR(AH435/(1+AB435),""))</f>
        <v/>
      </c>
      <c r="AJ435" s="50" t="str">
        <f aca="false">IF(OR(AI435="",AC435=""),"",IFERROR((AI435-AC435)/AI435,""))</f>
        <v/>
      </c>
      <c r="AK435" s="53" t="str">
        <f aca="false">IF(OR(AJ435="",AE435=""),"",AJ435-AE435)</f>
        <v/>
      </c>
      <c r="AL435" s="54" t="str">
        <f aca="false">IF(OR(AH435="",AF435=""),"",AH435-AF435)</f>
        <v/>
      </c>
      <c r="AM435" s="55" t="str">
        <f aca="false">IF(OR(A435="",K435&lt;&gt;"SI"),"",IF(AE435="","Sin objetivo",IF(AJ435="","Faltan datos",IF(AJ435&lt;0,"PÉRDIDA",IF(AK435&lt;-UMB_CRITICO,"MUY POR DEBAJO",IF(AK435&lt;-UMB_BAJO,"POR DEBAJO",IF(AK435&lt;-UMB_AJUSTADO,"AJUSTADO",IF(AK435&lt;=UMB_ALTO,"EN OBJETIVO","POR ENCIMA"))))))))</f>
        <v/>
      </c>
      <c r="AN435" s="44"/>
      <c r="AO435" s="44"/>
      <c r="AP435" s="46"/>
      <c r="AQ435" s="46"/>
      <c r="AR435" s="46"/>
      <c r="AS435" s="44"/>
      <c r="AT435" s="44"/>
      <c r="AU435" s="44"/>
      <c r="AV435" s="44"/>
      <c r="AW435" s="44"/>
      <c r="AX435" s="45"/>
      <c r="AY435" s="44"/>
      <c r="AZ435" s="56"/>
      <c r="BA435" s="45"/>
    </row>
    <row r="436" customFormat="false" ht="15" hidden="false" customHeight="false" outlineLevel="0" collapsed="false">
      <c r="A436" s="44"/>
      <c r="B436" s="44"/>
      <c r="C436" s="45"/>
      <c r="D436" s="45"/>
      <c r="E436" s="44"/>
      <c r="F436" s="44"/>
      <c r="G436" s="44"/>
      <c r="H436" s="44"/>
      <c r="I436" s="44"/>
      <c r="J436" s="44"/>
      <c r="K436" s="44"/>
      <c r="L436" s="44"/>
      <c r="M436" s="44"/>
      <c r="N436" s="44"/>
      <c r="O436" s="46"/>
      <c r="P436" s="44"/>
      <c r="Q436" s="46"/>
      <c r="R436" s="44"/>
      <c r="S436" s="45"/>
      <c r="T436" s="44"/>
      <c r="U436" s="44"/>
      <c r="V436" s="47"/>
      <c r="W436" s="48" t="str">
        <f aca="false">IF(V436="","",IFERROR(V436/O436,""))</f>
        <v/>
      </c>
      <c r="X436" s="44"/>
      <c r="Y436" s="46"/>
      <c r="Z436" s="49"/>
      <c r="AA436" s="44"/>
      <c r="AB436" s="50" t="str">
        <f aca="false">IFERROR(INDEX(TABLA_IVA!$C$3:$C$6,MATCH(AA436,TABLA_IVA!$A$3:$A$6,0)),"")</f>
        <v/>
      </c>
      <c r="AC436" s="47"/>
      <c r="AD436" s="44"/>
      <c r="AE436" s="51"/>
      <c r="AF436" s="52" t="str">
        <f aca="false">IF(OR(AC436="",AE436="",AB436=""),"",IFERROR(AC436/(1-AE436)*(1+AB436),""))</f>
        <v/>
      </c>
      <c r="AG436" s="47"/>
      <c r="AH436" s="52" t="str">
        <f aca="false">IF(AD436="FIJO",IF(AG436="","",AG436),IF(AF436&lt;&gt;"",AF436,IF(AG436="","",AG436)))</f>
        <v/>
      </c>
      <c r="AI436" s="52" t="str">
        <f aca="false">IF(OR(AH436="",AB436=""),"",IFERROR(AH436/(1+AB436),""))</f>
        <v/>
      </c>
      <c r="AJ436" s="50" t="str">
        <f aca="false">IF(OR(AI436="",AC436=""),"",IFERROR((AI436-AC436)/AI436,""))</f>
        <v/>
      </c>
      <c r="AK436" s="53" t="str">
        <f aca="false">IF(OR(AJ436="",AE436=""),"",AJ436-AE436)</f>
        <v/>
      </c>
      <c r="AL436" s="54" t="str">
        <f aca="false">IF(OR(AH436="",AF436=""),"",AH436-AF436)</f>
        <v/>
      </c>
      <c r="AM436" s="55" t="str">
        <f aca="false">IF(OR(A436="",K436&lt;&gt;"SI"),"",IF(AE436="","Sin objetivo",IF(AJ436="","Faltan datos",IF(AJ436&lt;0,"PÉRDIDA",IF(AK436&lt;-UMB_CRITICO,"MUY POR DEBAJO",IF(AK436&lt;-UMB_BAJO,"POR DEBAJO",IF(AK436&lt;-UMB_AJUSTADO,"AJUSTADO",IF(AK436&lt;=UMB_ALTO,"EN OBJETIVO","POR ENCIMA"))))))))</f>
        <v/>
      </c>
      <c r="AN436" s="44"/>
      <c r="AO436" s="44"/>
      <c r="AP436" s="46"/>
      <c r="AQ436" s="46"/>
      <c r="AR436" s="46"/>
      <c r="AS436" s="44"/>
      <c r="AT436" s="44"/>
      <c r="AU436" s="44"/>
      <c r="AV436" s="44"/>
      <c r="AW436" s="44"/>
      <c r="AX436" s="45"/>
      <c r="AY436" s="44"/>
      <c r="AZ436" s="56"/>
      <c r="BA436" s="45"/>
    </row>
    <row r="437" customFormat="false" ht="15" hidden="false" customHeight="false" outlineLevel="0" collapsed="false">
      <c r="A437" s="44"/>
      <c r="B437" s="44"/>
      <c r="C437" s="45"/>
      <c r="D437" s="45"/>
      <c r="E437" s="44"/>
      <c r="F437" s="44"/>
      <c r="G437" s="44"/>
      <c r="H437" s="44"/>
      <c r="I437" s="44"/>
      <c r="J437" s="44"/>
      <c r="K437" s="44"/>
      <c r="L437" s="44"/>
      <c r="M437" s="44"/>
      <c r="N437" s="44"/>
      <c r="O437" s="46"/>
      <c r="P437" s="44"/>
      <c r="Q437" s="46"/>
      <c r="R437" s="44"/>
      <c r="S437" s="45"/>
      <c r="T437" s="44"/>
      <c r="U437" s="44"/>
      <c r="V437" s="47"/>
      <c r="W437" s="48" t="str">
        <f aca="false">IF(V437="","",IFERROR(V437/O437,""))</f>
        <v/>
      </c>
      <c r="X437" s="44"/>
      <c r="Y437" s="46"/>
      <c r="Z437" s="49"/>
      <c r="AA437" s="44"/>
      <c r="AB437" s="50" t="str">
        <f aca="false">IFERROR(INDEX(TABLA_IVA!$C$3:$C$6,MATCH(AA437,TABLA_IVA!$A$3:$A$6,0)),"")</f>
        <v/>
      </c>
      <c r="AC437" s="47"/>
      <c r="AD437" s="44"/>
      <c r="AE437" s="51"/>
      <c r="AF437" s="52" t="str">
        <f aca="false">IF(OR(AC437="",AE437="",AB437=""),"",IFERROR(AC437/(1-AE437)*(1+AB437),""))</f>
        <v/>
      </c>
      <c r="AG437" s="47"/>
      <c r="AH437" s="52" t="str">
        <f aca="false">IF(AD437="FIJO",IF(AG437="","",AG437),IF(AF437&lt;&gt;"",AF437,IF(AG437="","",AG437)))</f>
        <v/>
      </c>
      <c r="AI437" s="52" t="str">
        <f aca="false">IF(OR(AH437="",AB437=""),"",IFERROR(AH437/(1+AB437),""))</f>
        <v/>
      </c>
      <c r="AJ437" s="50" t="str">
        <f aca="false">IF(OR(AI437="",AC437=""),"",IFERROR((AI437-AC437)/AI437,""))</f>
        <v/>
      </c>
      <c r="AK437" s="53" t="str">
        <f aca="false">IF(OR(AJ437="",AE437=""),"",AJ437-AE437)</f>
        <v/>
      </c>
      <c r="AL437" s="54" t="str">
        <f aca="false">IF(OR(AH437="",AF437=""),"",AH437-AF437)</f>
        <v/>
      </c>
      <c r="AM437" s="55" t="str">
        <f aca="false">IF(OR(A437="",K437&lt;&gt;"SI"),"",IF(AE437="","Sin objetivo",IF(AJ437="","Faltan datos",IF(AJ437&lt;0,"PÉRDIDA",IF(AK437&lt;-UMB_CRITICO,"MUY POR DEBAJO",IF(AK437&lt;-UMB_BAJO,"POR DEBAJO",IF(AK437&lt;-UMB_AJUSTADO,"AJUSTADO",IF(AK437&lt;=UMB_ALTO,"EN OBJETIVO","POR ENCIMA"))))))))</f>
        <v/>
      </c>
      <c r="AN437" s="44"/>
      <c r="AO437" s="44"/>
      <c r="AP437" s="46"/>
      <c r="AQ437" s="46"/>
      <c r="AR437" s="46"/>
      <c r="AS437" s="44"/>
      <c r="AT437" s="44"/>
      <c r="AU437" s="44"/>
      <c r="AV437" s="44"/>
      <c r="AW437" s="44"/>
      <c r="AX437" s="45"/>
      <c r="AY437" s="44"/>
      <c r="AZ437" s="56"/>
      <c r="BA437" s="45"/>
    </row>
    <row r="438" customFormat="false" ht="15" hidden="false" customHeight="false" outlineLevel="0" collapsed="false">
      <c r="A438" s="44"/>
      <c r="B438" s="44"/>
      <c r="C438" s="45"/>
      <c r="D438" s="45"/>
      <c r="E438" s="44"/>
      <c r="F438" s="44"/>
      <c r="G438" s="44"/>
      <c r="H438" s="44"/>
      <c r="I438" s="44"/>
      <c r="J438" s="44"/>
      <c r="K438" s="44"/>
      <c r="L438" s="44"/>
      <c r="M438" s="44"/>
      <c r="N438" s="44"/>
      <c r="O438" s="46"/>
      <c r="P438" s="44"/>
      <c r="Q438" s="46"/>
      <c r="R438" s="44"/>
      <c r="S438" s="45"/>
      <c r="T438" s="44"/>
      <c r="U438" s="44"/>
      <c r="V438" s="47"/>
      <c r="W438" s="48" t="str">
        <f aca="false">IF(V438="","",IFERROR(V438/O438,""))</f>
        <v/>
      </c>
      <c r="X438" s="44"/>
      <c r="Y438" s="46"/>
      <c r="Z438" s="49"/>
      <c r="AA438" s="44"/>
      <c r="AB438" s="50" t="str">
        <f aca="false">IFERROR(INDEX(TABLA_IVA!$C$3:$C$6,MATCH(AA438,TABLA_IVA!$A$3:$A$6,0)),"")</f>
        <v/>
      </c>
      <c r="AC438" s="47"/>
      <c r="AD438" s="44"/>
      <c r="AE438" s="51"/>
      <c r="AF438" s="52" t="str">
        <f aca="false">IF(OR(AC438="",AE438="",AB438=""),"",IFERROR(AC438/(1-AE438)*(1+AB438),""))</f>
        <v/>
      </c>
      <c r="AG438" s="47"/>
      <c r="AH438" s="52" t="str">
        <f aca="false">IF(AD438="FIJO",IF(AG438="","",AG438),IF(AF438&lt;&gt;"",AF438,IF(AG438="","",AG438)))</f>
        <v/>
      </c>
      <c r="AI438" s="52" t="str">
        <f aca="false">IF(OR(AH438="",AB438=""),"",IFERROR(AH438/(1+AB438),""))</f>
        <v/>
      </c>
      <c r="AJ438" s="50" t="str">
        <f aca="false">IF(OR(AI438="",AC438=""),"",IFERROR((AI438-AC438)/AI438,""))</f>
        <v/>
      </c>
      <c r="AK438" s="53" t="str">
        <f aca="false">IF(OR(AJ438="",AE438=""),"",AJ438-AE438)</f>
        <v/>
      </c>
      <c r="AL438" s="54" t="str">
        <f aca="false">IF(OR(AH438="",AF438=""),"",AH438-AF438)</f>
        <v/>
      </c>
      <c r="AM438" s="55" t="str">
        <f aca="false">IF(OR(A438="",K438&lt;&gt;"SI"),"",IF(AE438="","Sin objetivo",IF(AJ438="","Faltan datos",IF(AJ438&lt;0,"PÉRDIDA",IF(AK438&lt;-UMB_CRITICO,"MUY POR DEBAJO",IF(AK438&lt;-UMB_BAJO,"POR DEBAJO",IF(AK438&lt;-UMB_AJUSTADO,"AJUSTADO",IF(AK438&lt;=UMB_ALTO,"EN OBJETIVO","POR ENCIMA"))))))))</f>
        <v/>
      </c>
      <c r="AN438" s="44"/>
      <c r="AO438" s="44"/>
      <c r="AP438" s="46"/>
      <c r="AQ438" s="46"/>
      <c r="AR438" s="46"/>
      <c r="AS438" s="44"/>
      <c r="AT438" s="44"/>
      <c r="AU438" s="44"/>
      <c r="AV438" s="44"/>
      <c r="AW438" s="44"/>
      <c r="AX438" s="45"/>
      <c r="AY438" s="44"/>
      <c r="AZ438" s="56"/>
      <c r="BA438" s="45"/>
    </row>
    <row r="439" customFormat="false" ht="15" hidden="false" customHeight="false" outlineLevel="0" collapsed="false">
      <c r="A439" s="44"/>
      <c r="B439" s="44"/>
      <c r="C439" s="45"/>
      <c r="D439" s="45"/>
      <c r="E439" s="44"/>
      <c r="F439" s="44"/>
      <c r="G439" s="44"/>
      <c r="H439" s="44"/>
      <c r="I439" s="44"/>
      <c r="J439" s="44"/>
      <c r="K439" s="44"/>
      <c r="L439" s="44"/>
      <c r="M439" s="44"/>
      <c r="N439" s="44"/>
      <c r="O439" s="46"/>
      <c r="P439" s="44"/>
      <c r="Q439" s="46"/>
      <c r="R439" s="44"/>
      <c r="S439" s="45"/>
      <c r="T439" s="44"/>
      <c r="U439" s="44"/>
      <c r="V439" s="47"/>
      <c r="W439" s="48" t="str">
        <f aca="false">IF(V439="","",IFERROR(V439/O439,""))</f>
        <v/>
      </c>
      <c r="X439" s="44"/>
      <c r="Y439" s="46"/>
      <c r="Z439" s="49"/>
      <c r="AA439" s="44"/>
      <c r="AB439" s="50" t="str">
        <f aca="false">IFERROR(INDEX(TABLA_IVA!$C$3:$C$6,MATCH(AA439,TABLA_IVA!$A$3:$A$6,0)),"")</f>
        <v/>
      </c>
      <c r="AC439" s="47"/>
      <c r="AD439" s="44"/>
      <c r="AE439" s="51"/>
      <c r="AF439" s="52" t="str">
        <f aca="false">IF(OR(AC439="",AE439="",AB439=""),"",IFERROR(AC439/(1-AE439)*(1+AB439),""))</f>
        <v/>
      </c>
      <c r="AG439" s="47"/>
      <c r="AH439" s="52" t="str">
        <f aca="false">IF(AD439="FIJO",IF(AG439="","",AG439),IF(AF439&lt;&gt;"",AF439,IF(AG439="","",AG439)))</f>
        <v/>
      </c>
      <c r="AI439" s="52" t="str">
        <f aca="false">IF(OR(AH439="",AB439=""),"",IFERROR(AH439/(1+AB439),""))</f>
        <v/>
      </c>
      <c r="AJ439" s="50" t="str">
        <f aca="false">IF(OR(AI439="",AC439=""),"",IFERROR((AI439-AC439)/AI439,""))</f>
        <v/>
      </c>
      <c r="AK439" s="53" t="str">
        <f aca="false">IF(OR(AJ439="",AE439=""),"",AJ439-AE439)</f>
        <v/>
      </c>
      <c r="AL439" s="54" t="str">
        <f aca="false">IF(OR(AH439="",AF439=""),"",AH439-AF439)</f>
        <v/>
      </c>
      <c r="AM439" s="55" t="str">
        <f aca="false">IF(OR(A439="",K439&lt;&gt;"SI"),"",IF(AE439="","Sin objetivo",IF(AJ439="","Faltan datos",IF(AJ439&lt;0,"PÉRDIDA",IF(AK439&lt;-UMB_CRITICO,"MUY POR DEBAJO",IF(AK439&lt;-UMB_BAJO,"POR DEBAJO",IF(AK439&lt;-UMB_AJUSTADO,"AJUSTADO",IF(AK439&lt;=UMB_ALTO,"EN OBJETIVO","POR ENCIMA"))))))))</f>
        <v/>
      </c>
      <c r="AN439" s="44"/>
      <c r="AO439" s="44"/>
      <c r="AP439" s="46"/>
      <c r="AQ439" s="46"/>
      <c r="AR439" s="46"/>
      <c r="AS439" s="44"/>
      <c r="AT439" s="44"/>
      <c r="AU439" s="44"/>
      <c r="AV439" s="44"/>
      <c r="AW439" s="44"/>
      <c r="AX439" s="45"/>
      <c r="AY439" s="44"/>
      <c r="AZ439" s="56"/>
      <c r="BA439" s="45"/>
    </row>
    <row r="440" customFormat="false" ht="15" hidden="false" customHeight="false" outlineLevel="0" collapsed="false">
      <c r="A440" s="44"/>
      <c r="B440" s="44"/>
      <c r="C440" s="45"/>
      <c r="D440" s="45"/>
      <c r="E440" s="44"/>
      <c r="F440" s="44"/>
      <c r="G440" s="44"/>
      <c r="H440" s="44"/>
      <c r="I440" s="44"/>
      <c r="J440" s="44"/>
      <c r="K440" s="44"/>
      <c r="L440" s="44"/>
      <c r="M440" s="44"/>
      <c r="N440" s="44"/>
      <c r="O440" s="46"/>
      <c r="P440" s="44"/>
      <c r="Q440" s="46"/>
      <c r="R440" s="44"/>
      <c r="S440" s="45"/>
      <c r="T440" s="44"/>
      <c r="U440" s="44"/>
      <c r="V440" s="47"/>
      <c r="W440" s="48" t="str">
        <f aca="false">IF(V440="","",IFERROR(V440/O440,""))</f>
        <v/>
      </c>
      <c r="X440" s="44"/>
      <c r="Y440" s="46"/>
      <c r="Z440" s="49"/>
      <c r="AA440" s="44"/>
      <c r="AB440" s="50" t="str">
        <f aca="false">IFERROR(INDEX(TABLA_IVA!$C$3:$C$6,MATCH(AA440,TABLA_IVA!$A$3:$A$6,0)),"")</f>
        <v/>
      </c>
      <c r="AC440" s="47"/>
      <c r="AD440" s="44"/>
      <c r="AE440" s="51"/>
      <c r="AF440" s="52" t="str">
        <f aca="false">IF(OR(AC440="",AE440="",AB440=""),"",IFERROR(AC440/(1-AE440)*(1+AB440),""))</f>
        <v/>
      </c>
      <c r="AG440" s="47"/>
      <c r="AH440" s="52" t="str">
        <f aca="false">IF(AD440="FIJO",IF(AG440="","",AG440),IF(AF440&lt;&gt;"",AF440,IF(AG440="","",AG440)))</f>
        <v/>
      </c>
      <c r="AI440" s="52" t="str">
        <f aca="false">IF(OR(AH440="",AB440=""),"",IFERROR(AH440/(1+AB440),""))</f>
        <v/>
      </c>
      <c r="AJ440" s="50" t="str">
        <f aca="false">IF(OR(AI440="",AC440=""),"",IFERROR((AI440-AC440)/AI440,""))</f>
        <v/>
      </c>
      <c r="AK440" s="53" t="str">
        <f aca="false">IF(OR(AJ440="",AE440=""),"",AJ440-AE440)</f>
        <v/>
      </c>
      <c r="AL440" s="54" t="str">
        <f aca="false">IF(OR(AH440="",AF440=""),"",AH440-AF440)</f>
        <v/>
      </c>
      <c r="AM440" s="55" t="str">
        <f aca="false">IF(OR(A440="",K440&lt;&gt;"SI"),"",IF(AE440="","Sin objetivo",IF(AJ440="","Faltan datos",IF(AJ440&lt;0,"PÉRDIDA",IF(AK440&lt;-UMB_CRITICO,"MUY POR DEBAJO",IF(AK440&lt;-UMB_BAJO,"POR DEBAJO",IF(AK440&lt;-UMB_AJUSTADO,"AJUSTADO",IF(AK440&lt;=UMB_ALTO,"EN OBJETIVO","POR ENCIMA"))))))))</f>
        <v/>
      </c>
      <c r="AN440" s="44"/>
      <c r="AO440" s="44"/>
      <c r="AP440" s="46"/>
      <c r="AQ440" s="46"/>
      <c r="AR440" s="46"/>
      <c r="AS440" s="44"/>
      <c r="AT440" s="44"/>
      <c r="AU440" s="44"/>
      <c r="AV440" s="44"/>
      <c r="AW440" s="44"/>
      <c r="AX440" s="45"/>
      <c r="AY440" s="44"/>
      <c r="AZ440" s="56"/>
      <c r="BA440" s="45"/>
    </row>
    <row r="441" customFormat="false" ht="15" hidden="false" customHeight="false" outlineLevel="0" collapsed="false">
      <c r="A441" s="44"/>
      <c r="B441" s="44"/>
      <c r="C441" s="45"/>
      <c r="D441" s="45"/>
      <c r="E441" s="44"/>
      <c r="F441" s="44"/>
      <c r="G441" s="44"/>
      <c r="H441" s="44"/>
      <c r="I441" s="44"/>
      <c r="J441" s="44"/>
      <c r="K441" s="44"/>
      <c r="L441" s="44"/>
      <c r="M441" s="44"/>
      <c r="N441" s="44"/>
      <c r="O441" s="46"/>
      <c r="P441" s="44"/>
      <c r="Q441" s="46"/>
      <c r="R441" s="44"/>
      <c r="S441" s="45"/>
      <c r="T441" s="44"/>
      <c r="U441" s="44"/>
      <c r="V441" s="47"/>
      <c r="W441" s="48" t="str">
        <f aca="false">IF(V441="","",IFERROR(V441/O441,""))</f>
        <v/>
      </c>
      <c r="X441" s="44"/>
      <c r="Y441" s="46"/>
      <c r="Z441" s="49"/>
      <c r="AA441" s="44"/>
      <c r="AB441" s="50" t="str">
        <f aca="false">IFERROR(INDEX(TABLA_IVA!$C$3:$C$6,MATCH(AA441,TABLA_IVA!$A$3:$A$6,0)),"")</f>
        <v/>
      </c>
      <c r="AC441" s="47"/>
      <c r="AD441" s="44"/>
      <c r="AE441" s="51"/>
      <c r="AF441" s="52" t="str">
        <f aca="false">IF(OR(AC441="",AE441="",AB441=""),"",IFERROR(AC441/(1-AE441)*(1+AB441),""))</f>
        <v/>
      </c>
      <c r="AG441" s="47"/>
      <c r="AH441" s="52" t="str">
        <f aca="false">IF(AD441="FIJO",IF(AG441="","",AG441),IF(AF441&lt;&gt;"",AF441,IF(AG441="","",AG441)))</f>
        <v/>
      </c>
      <c r="AI441" s="52" t="str">
        <f aca="false">IF(OR(AH441="",AB441=""),"",IFERROR(AH441/(1+AB441),""))</f>
        <v/>
      </c>
      <c r="AJ441" s="50" t="str">
        <f aca="false">IF(OR(AI441="",AC441=""),"",IFERROR((AI441-AC441)/AI441,""))</f>
        <v/>
      </c>
      <c r="AK441" s="53" t="str">
        <f aca="false">IF(OR(AJ441="",AE441=""),"",AJ441-AE441)</f>
        <v/>
      </c>
      <c r="AL441" s="54" t="str">
        <f aca="false">IF(OR(AH441="",AF441=""),"",AH441-AF441)</f>
        <v/>
      </c>
      <c r="AM441" s="55" t="str">
        <f aca="false">IF(OR(A441="",K441&lt;&gt;"SI"),"",IF(AE441="","Sin objetivo",IF(AJ441="","Faltan datos",IF(AJ441&lt;0,"PÉRDIDA",IF(AK441&lt;-UMB_CRITICO,"MUY POR DEBAJO",IF(AK441&lt;-UMB_BAJO,"POR DEBAJO",IF(AK441&lt;-UMB_AJUSTADO,"AJUSTADO",IF(AK441&lt;=UMB_ALTO,"EN OBJETIVO","POR ENCIMA"))))))))</f>
        <v/>
      </c>
      <c r="AN441" s="44"/>
      <c r="AO441" s="44"/>
      <c r="AP441" s="46"/>
      <c r="AQ441" s="46"/>
      <c r="AR441" s="46"/>
      <c r="AS441" s="44"/>
      <c r="AT441" s="44"/>
      <c r="AU441" s="44"/>
      <c r="AV441" s="44"/>
      <c r="AW441" s="44"/>
      <c r="AX441" s="45"/>
      <c r="AY441" s="44"/>
      <c r="AZ441" s="56"/>
      <c r="BA441" s="45"/>
    </row>
    <row r="442" customFormat="false" ht="15" hidden="false" customHeight="false" outlineLevel="0" collapsed="false">
      <c r="A442" s="44"/>
      <c r="B442" s="44"/>
      <c r="C442" s="45"/>
      <c r="D442" s="45"/>
      <c r="E442" s="44"/>
      <c r="F442" s="44"/>
      <c r="G442" s="44"/>
      <c r="H442" s="44"/>
      <c r="I442" s="44"/>
      <c r="J442" s="44"/>
      <c r="K442" s="44"/>
      <c r="L442" s="44"/>
      <c r="M442" s="44"/>
      <c r="N442" s="44"/>
      <c r="O442" s="46"/>
      <c r="P442" s="44"/>
      <c r="Q442" s="46"/>
      <c r="R442" s="44"/>
      <c r="S442" s="45"/>
      <c r="T442" s="44"/>
      <c r="U442" s="44"/>
      <c r="V442" s="47"/>
      <c r="W442" s="48" t="str">
        <f aca="false">IF(V442="","",IFERROR(V442/O442,""))</f>
        <v/>
      </c>
      <c r="X442" s="44"/>
      <c r="Y442" s="46"/>
      <c r="Z442" s="49"/>
      <c r="AA442" s="44"/>
      <c r="AB442" s="50" t="str">
        <f aca="false">IFERROR(INDEX(TABLA_IVA!$C$3:$C$6,MATCH(AA442,TABLA_IVA!$A$3:$A$6,0)),"")</f>
        <v/>
      </c>
      <c r="AC442" s="47"/>
      <c r="AD442" s="44"/>
      <c r="AE442" s="51"/>
      <c r="AF442" s="52" t="str">
        <f aca="false">IF(OR(AC442="",AE442="",AB442=""),"",IFERROR(AC442/(1-AE442)*(1+AB442),""))</f>
        <v/>
      </c>
      <c r="AG442" s="47"/>
      <c r="AH442" s="52" t="str">
        <f aca="false">IF(AD442="FIJO",IF(AG442="","",AG442),IF(AF442&lt;&gt;"",AF442,IF(AG442="","",AG442)))</f>
        <v/>
      </c>
      <c r="AI442" s="52" t="str">
        <f aca="false">IF(OR(AH442="",AB442=""),"",IFERROR(AH442/(1+AB442),""))</f>
        <v/>
      </c>
      <c r="AJ442" s="50" t="str">
        <f aca="false">IF(OR(AI442="",AC442=""),"",IFERROR((AI442-AC442)/AI442,""))</f>
        <v/>
      </c>
      <c r="AK442" s="53" t="str">
        <f aca="false">IF(OR(AJ442="",AE442=""),"",AJ442-AE442)</f>
        <v/>
      </c>
      <c r="AL442" s="54" t="str">
        <f aca="false">IF(OR(AH442="",AF442=""),"",AH442-AF442)</f>
        <v/>
      </c>
      <c r="AM442" s="55" t="str">
        <f aca="false">IF(OR(A442="",K442&lt;&gt;"SI"),"",IF(AE442="","Sin objetivo",IF(AJ442="","Faltan datos",IF(AJ442&lt;0,"PÉRDIDA",IF(AK442&lt;-UMB_CRITICO,"MUY POR DEBAJO",IF(AK442&lt;-UMB_BAJO,"POR DEBAJO",IF(AK442&lt;-UMB_AJUSTADO,"AJUSTADO",IF(AK442&lt;=UMB_ALTO,"EN OBJETIVO","POR ENCIMA"))))))))</f>
        <v/>
      </c>
      <c r="AN442" s="44"/>
      <c r="AO442" s="44"/>
      <c r="AP442" s="46"/>
      <c r="AQ442" s="46"/>
      <c r="AR442" s="46"/>
      <c r="AS442" s="44"/>
      <c r="AT442" s="44"/>
      <c r="AU442" s="44"/>
      <c r="AV442" s="44"/>
      <c r="AW442" s="44"/>
      <c r="AX442" s="45"/>
      <c r="AY442" s="44"/>
      <c r="AZ442" s="56"/>
      <c r="BA442" s="45"/>
    </row>
    <row r="443" customFormat="false" ht="15" hidden="false" customHeight="false" outlineLevel="0" collapsed="false">
      <c r="A443" s="44"/>
      <c r="B443" s="44"/>
      <c r="C443" s="45"/>
      <c r="D443" s="45"/>
      <c r="E443" s="44"/>
      <c r="F443" s="44"/>
      <c r="G443" s="44"/>
      <c r="H443" s="44"/>
      <c r="I443" s="44"/>
      <c r="J443" s="44"/>
      <c r="K443" s="44"/>
      <c r="L443" s="44"/>
      <c r="M443" s="44"/>
      <c r="N443" s="44"/>
      <c r="O443" s="46"/>
      <c r="P443" s="44"/>
      <c r="Q443" s="46"/>
      <c r="R443" s="44"/>
      <c r="S443" s="45"/>
      <c r="T443" s="44"/>
      <c r="U443" s="44"/>
      <c r="V443" s="47"/>
      <c r="W443" s="48" t="str">
        <f aca="false">IF(V443="","",IFERROR(V443/O443,""))</f>
        <v/>
      </c>
      <c r="X443" s="44"/>
      <c r="Y443" s="46"/>
      <c r="Z443" s="49"/>
      <c r="AA443" s="44"/>
      <c r="AB443" s="50" t="str">
        <f aca="false">IFERROR(INDEX(TABLA_IVA!$C$3:$C$6,MATCH(AA443,TABLA_IVA!$A$3:$A$6,0)),"")</f>
        <v/>
      </c>
      <c r="AC443" s="47"/>
      <c r="AD443" s="44"/>
      <c r="AE443" s="51"/>
      <c r="AF443" s="52" t="str">
        <f aca="false">IF(OR(AC443="",AE443="",AB443=""),"",IFERROR(AC443/(1-AE443)*(1+AB443),""))</f>
        <v/>
      </c>
      <c r="AG443" s="47"/>
      <c r="AH443" s="52" t="str">
        <f aca="false">IF(AD443="FIJO",IF(AG443="","",AG443),IF(AF443&lt;&gt;"",AF443,IF(AG443="","",AG443)))</f>
        <v/>
      </c>
      <c r="AI443" s="52" t="str">
        <f aca="false">IF(OR(AH443="",AB443=""),"",IFERROR(AH443/(1+AB443),""))</f>
        <v/>
      </c>
      <c r="AJ443" s="50" t="str">
        <f aca="false">IF(OR(AI443="",AC443=""),"",IFERROR((AI443-AC443)/AI443,""))</f>
        <v/>
      </c>
      <c r="AK443" s="53" t="str">
        <f aca="false">IF(OR(AJ443="",AE443=""),"",AJ443-AE443)</f>
        <v/>
      </c>
      <c r="AL443" s="54" t="str">
        <f aca="false">IF(OR(AH443="",AF443=""),"",AH443-AF443)</f>
        <v/>
      </c>
      <c r="AM443" s="55" t="str">
        <f aca="false">IF(OR(A443="",K443&lt;&gt;"SI"),"",IF(AE443="","Sin objetivo",IF(AJ443="","Faltan datos",IF(AJ443&lt;0,"PÉRDIDA",IF(AK443&lt;-UMB_CRITICO,"MUY POR DEBAJO",IF(AK443&lt;-UMB_BAJO,"POR DEBAJO",IF(AK443&lt;-UMB_AJUSTADO,"AJUSTADO",IF(AK443&lt;=UMB_ALTO,"EN OBJETIVO","POR ENCIMA"))))))))</f>
        <v/>
      </c>
      <c r="AN443" s="44"/>
      <c r="AO443" s="44"/>
      <c r="AP443" s="46"/>
      <c r="AQ443" s="46"/>
      <c r="AR443" s="46"/>
      <c r="AS443" s="44"/>
      <c r="AT443" s="44"/>
      <c r="AU443" s="44"/>
      <c r="AV443" s="44"/>
      <c r="AW443" s="44"/>
      <c r="AX443" s="45"/>
      <c r="AY443" s="44"/>
      <c r="AZ443" s="56"/>
      <c r="BA443" s="45"/>
    </row>
    <row r="444" customFormat="false" ht="15" hidden="false" customHeight="false" outlineLevel="0" collapsed="false">
      <c r="A444" s="44"/>
      <c r="B444" s="44"/>
      <c r="C444" s="45"/>
      <c r="D444" s="45"/>
      <c r="E444" s="44"/>
      <c r="F444" s="44"/>
      <c r="G444" s="44"/>
      <c r="H444" s="44"/>
      <c r="I444" s="44"/>
      <c r="J444" s="44"/>
      <c r="K444" s="44"/>
      <c r="L444" s="44"/>
      <c r="M444" s="44"/>
      <c r="N444" s="44"/>
      <c r="O444" s="46"/>
      <c r="P444" s="44"/>
      <c r="Q444" s="46"/>
      <c r="R444" s="44"/>
      <c r="S444" s="45"/>
      <c r="T444" s="44"/>
      <c r="U444" s="44"/>
      <c r="V444" s="47"/>
      <c r="W444" s="48" t="str">
        <f aca="false">IF(V444="","",IFERROR(V444/O444,""))</f>
        <v/>
      </c>
      <c r="X444" s="44"/>
      <c r="Y444" s="46"/>
      <c r="Z444" s="49"/>
      <c r="AA444" s="44"/>
      <c r="AB444" s="50" t="str">
        <f aca="false">IFERROR(INDEX(TABLA_IVA!$C$3:$C$6,MATCH(AA444,TABLA_IVA!$A$3:$A$6,0)),"")</f>
        <v/>
      </c>
      <c r="AC444" s="47"/>
      <c r="AD444" s="44"/>
      <c r="AE444" s="51"/>
      <c r="AF444" s="52" t="str">
        <f aca="false">IF(OR(AC444="",AE444="",AB444=""),"",IFERROR(AC444/(1-AE444)*(1+AB444),""))</f>
        <v/>
      </c>
      <c r="AG444" s="47"/>
      <c r="AH444" s="52" t="str">
        <f aca="false">IF(AD444="FIJO",IF(AG444="","",AG444),IF(AF444&lt;&gt;"",AF444,IF(AG444="","",AG444)))</f>
        <v/>
      </c>
      <c r="AI444" s="52" t="str">
        <f aca="false">IF(OR(AH444="",AB444=""),"",IFERROR(AH444/(1+AB444),""))</f>
        <v/>
      </c>
      <c r="AJ444" s="50" t="str">
        <f aca="false">IF(OR(AI444="",AC444=""),"",IFERROR((AI444-AC444)/AI444,""))</f>
        <v/>
      </c>
      <c r="AK444" s="53" t="str">
        <f aca="false">IF(OR(AJ444="",AE444=""),"",AJ444-AE444)</f>
        <v/>
      </c>
      <c r="AL444" s="54" t="str">
        <f aca="false">IF(OR(AH444="",AF444=""),"",AH444-AF444)</f>
        <v/>
      </c>
      <c r="AM444" s="55" t="str">
        <f aca="false">IF(OR(A444="",K444&lt;&gt;"SI"),"",IF(AE444="","Sin objetivo",IF(AJ444="","Faltan datos",IF(AJ444&lt;0,"PÉRDIDA",IF(AK444&lt;-UMB_CRITICO,"MUY POR DEBAJO",IF(AK444&lt;-UMB_BAJO,"POR DEBAJO",IF(AK444&lt;-UMB_AJUSTADO,"AJUSTADO",IF(AK444&lt;=UMB_ALTO,"EN OBJETIVO","POR ENCIMA"))))))))</f>
        <v/>
      </c>
      <c r="AN444" s="44"/>
      <c r="AO444" s="44"/>
      <c r="AP444" s="46"/>
      <c r="AQ444" s="46"/>
      <c r="AR444" s="46"/>
      <c r="AS444" s="44"/>
      <c r="AT444" s="44"/>
      <c r="AU444" s="44"/>
      <c r="AV444" s="44"/>
      <c r="AW444" s="44"/>
      <c r="AX444" s="45"/>
      <c r="AY444" s="44"/>
      <c r="AZ444" s="56"/>
      <c r="BA444" s="45"/>
    </row>
    <row r="445" customFormat="false" ht="15" hidden="false" customHeight="false" outlineLevel="0" collapsed="false">
      <c r="A445" s="44"/>
      <c r="B445" s="44"/>
      <c r="C445" s="45"/>
      <c r="D445" s="45"/>
      <c r="E445" s="44"/>
      <c r="F445" s="44"/>
      <c r="G445" s="44"/>
      <c r="H445" s="44"/>
      <c r="I445" s="44"/>
      <c r="J445" s="44"/>
      <c r="K445" s="44"/>
      <c r="L445" s="44"/>
      <c r="M445" s="44"/>
      <c r="N445" s="44"/>
      <c r="O445" s="46"/>
      <c r="P445" s="44"/>
      <c r="Q445" s="46"/>
      <c r="R445" s="44"/>
      <c r="S445" s="45"/>
      <c r="T445" s="44"/>
      <c r="U445" s="44"/>
      <c r="V445" s="47"/>
      <c r="W445" s="48" t="str">
        <f aca="false">IF(V445="","",IFERROR(V445/O445,""))</f>
        <v/>
      </c>
      <c r="X445" s="44"/>
      <c r="Y445" s="46"/>
      <c r="Z445" s="49"/>
      <c r="AA445" s="44"/>
      <c r="AB445" s="50" t="str">
        <f aca="false">IFERROR(INDEX(TABLA_IVA!$C$3:$C$6,MATCH(AA445,TABLA_IVA!$A$3:$A$6,0)),"")</f>
        <v/>
      </c>
      <c r="AC445" s="47"/>
      <c r="AD445" s="44"/>
      <c r="AE445" s="51"/>
      <c r="AF445" s="52" t="str">
        <f aca="false">IF(OR(AC445="",AE445="",AB445=""),"",IFERROR(AC445/(1-AE445)*(1+AB445),""))</f>
        <v/>
      </c>
      <c r="AG445" s="47"/>
      <c r="AH445" s="52" t="str">
        <f aca="false">IF(AD445="FIJO",IF(AG445="","",AG445),IF(AF445&lt;&gt;"",AF445,IF(AG445="","",AG445)))</f>
        <v/>
      </c>
      <c r="AI445" s="52" t="str">
        <f aca="false">IF(OR(AH445="",AB445=""),"",IFERROR(AH445/(1+AB445),""))</f>
        <v/>
      </c>
      <c r="AJ445" s="50" t="str">
        <f aca="false">IF(OR(AI445="",AC445=""),"",IFERROR((AI445-AC445)/AI445,""))</f>
        <v/>
      </c>
      <c r="AK445" s="53" t="str">
        <f aca="false">IF(OR(AJ445="",AE445=""),"",AJ445-AE445)</f>
        <v/>
      </c>
      <c r="AL445" s="54" t="str">
        <f aca="false">IF(OR(AH445="",AF445=""),"",AH445-AF445)</f>
        <v/>
      </c>
      <c r="AM445" s="55" t="str">
        <f aca="false">IF(OR(A445="",K445&lt;&gt;"SI"),"",IF(AE445="","Sin objetivo",IF(AJ445="","Faltan datos",IF(AJ445&lt;0,"PÉRDIDA",IF(AK445&lt;-UMB_CRITICO,"MUY POR DEBAJO",IF(AK445&lt;-UMB_BAJO,"POR DEBAJO",IF(AK445&lt;-UMB_AJUSTADO,"AJUSTADO",IF(AK445&lt;=UMB_ALTO,"EN OBJETIVO","POR ENCIMA"))))))))</f>
        <v/>
      </c>
      <c r="AN445" s="44"/>
      <c r="AO445" s="44"/>
      <c r="AP445" s="46"/>
      <c r="AQ445" s="46"/>
      <c r="AR445" s="46"/>
      <c r="AS445" s="44"/>
      <c r="AT445" s="44"/>
      <c r="AU445" s="44"/>
      <c r="AV445" s="44"/>
      <c r="AW445" s="44"/>
      <c r="AX445" s="45"/>
      <c r="AY445" s="44"/>
      <c r="AZ445" s="56"/>
      <c r="BA445" s="45"/>
    </row>
    <row r="446" customFormat="false" ht="15" hidden="false" customHeight="false" outlineLevel="0" collapsed="false">
      <c r="A446" s="44"/>
      <c r="B446" s="44"/>
      <c r="C446" s="45"/>
      <c r="D446" s="45"/>
      <c r="E446" s="44"/>
      <c r="F446" s="44"/>
      <c r="G446" s="44"/>
      <c r="H446" s="44"/>
      <c r="I446" s="44"/>
      <c r="J446" s="44"/>
      <c r="K446" s="44"/>
      <c r="L446" s="44"/>
      <c r="M446" s="44"/>
      <c r="N446" s="44"/>
      <c r="O446" s="46"/>
      <c r="P446" s="44"/>
      <c r="Q446" s="46"/>
      <c r="R446" s="44"/>
      <c r="S446" s="45"/>
      <c r="T446" s="44"/>
      <c r="U446" s="44"/>
      <c r="V446" s="47"/>
      <c r="W446" s="48" t="str">
        <f aca="false">IF(V446="","",IFERROR(V446/O446,""))</f>
        <v/>
      </c>
      <c r="X446" s="44"/>
      <c r="Y446" s="46"/>
      <c r="Z446" s="49"/>
      <c r="AA446" s="44"/>
      <c r="AB446" s="50" t="str">
        <f aca="false">IFERROR(INDEX(TABLA_IVA!$C$3:$C$6,MATCH(AA446,TABLA_IVA!$A$3:$A$6,0)),"")</f>
        <v/>
      </c>
      <c r="AC446" s="47"/>
      <c r="AD446" s="44"/>
      <c r="AE446" s="51"/>
      <c r="AF446" s="52" t="str">
        <f aca="false">IF(OR(AC446="",AE446="",AB446=""),"",IFERROR(AC446/(1-AE446)*(1+AB446),""))</f>
        <v/>
      </c>
      <c r="AG446" s="47"/>
      <c r="AH446" s="52" t="str">
        <f aca="false">IF(AD446="FIJO",IF(AG446="","",AG446),IF(AF446&lt;&gt;"",AF446,IF(AG446="","",AG446)))</f>
        <v/>
      </c>
      <c r="AI446" s="52" t="str">
        <f aca="false">IF(OR(AH446="",AB446=""),"",IFERROR(AH446/(1+AB446),""))</f>
        <v/>
      </c>
      <c r="AJ446" s="50" t="str">
        <f aca="false">IF(OR(AI446="",AC446=""),"",IFERROR((AI446-AC446)/AI446,""))</f>
        <v/>
      </c>
      <c r="AK446" s="53" t="str">
        <f aca="false">IF(OR(AJ446="",AE446=""),"",AJ446-AE446)</f>
        <v/>
      </c>
      <c r="AL446" s="54" t="str">
        <f aca="false">IF(OR(AH446="",AF446=""),"",AH446-AF446)</f>
        <v/>
      </c>
      <c r="AM446" s="55" t="str">
        <f aca="false">IF(OR(A446="",K446&lt;&gt;"SI"),"",IF(AE446="","Sin objetivo",IF(AJ446="","Faltan datos",IF(AJ446&lt;0,"PÉRDIDA",IF(AK446&lt;-UMB_CRITICO,"MUY POR DEBAJO",IF(AK446&lt;-UMB_BAJO,"POR DEBAJO",IF(AK446&lt;-UMB_AJUSTADO,"AJUSTADO",IF(AK446&lt;=UMB_ALTO,"EN OBJETIVO","POR ENCIMA"))))))))</f>
        <v/>
      </c>
      <c r="AN446" s="44"/>
      <c r="AO446" s="44"/>
      <c r="AP446" s="46"/>
      <c r="AQ446" s="46"/>
      <c r="AR446" s="46"/>
      <c r="AS446" s="44"/>
      <c r="AT446" s="44"/>
      <c r="AU446" s="44"/>
      <c r="AV446" s="44"/>
      <c r="AW446" s="44"/>
      <c r="AX446" s="45"/>
      <c r="AY446" s="44"/>
      <c r="AZ446" s="56"/>
      <c r="BA446" s="45"/>
    </row>
    <row r="447" customFormat="false" ht="15" hidden="false" customHeight="false" outlineLevel="0" collapsed="false">
      <c r="A447" s="44"/>
      <c r="B447" s="44"/>
      <c r="C447" s="45"/>
      <c r="D447" s="45"/>
      <c r="E447" s="44"/>
      <c r="F447" s="44"/>
      <c r="G447" s="44"/>
      <c r="H447" s="44"/>
      <c r="I447" s="44"/>
      <c r="J447" s="44"/>
      <c r="K447" s="44"/>
      <c r="L447" s="44"/>
      <c r="M447" s="44"/>
      <c r="N447" s="44"/>
      <c r="O447" s="46"/>
      <c r="P447" s="44"/>
      <c r="Q447" s="46"/>
      <c r="R447" s="44"/>
      <c r="S447" s="45"/>
      <c r="T447" s="44"/>
      <c r="U447" s="44"/>
      <c r="V447" s="47"/>
      <c r="W447" s="48" t="str">
        <f aca="false">IF(V447="","",IFERROR(V447/O447,""))</f>
        <v/>
      </c>
      <c r="X447" s="44"/>
      <c r="Y447" s="46"/>
      <c r="Z447" s="49"/>
      <c r="AA447" s="44"/>
      <c r="AB447" s="50" t="str">
        <f aca="false">IFERROR(INDEX(TABLA_IVA!$C$3:$C$6,MATCH(AA447,TABLA_IVA!$A$3:$A$6,0)),"")</f>
        <v/>
      </c>
      <c r="AC447" s="47"/>
      <c r="AD447" s="44"/>
      <c r="AE447" s="51"/>
      <c r="AF447" s="52" t="str">
        <f aca="false">IF(OR(AC447="",AE447="",AB447=""),"",IFERROR(AC447/(1-AE447)*(1+AB447),""))</f>
        <v/>
      </c>
      <c r="AG447" s="47"/>
      <c r="AH447" s="52" t="str">
        <f aca="false">IF(AD447="FIJO",IF(AG447="","",AG447),IF(AF447&lt;&gt;"",AF447,IF(AG447="","",AG447)))</f>
        <v/>
      </c>
      <c r="AI447" s="52" t="str">
        <f aca="false">IF(OR(AH447="",AB447=""),"",IFERROR(AH447/(1+AB447),""))</f>
        <v/>
      </c>
      <c r="AJ447" s="50" t="str">
        <f aca="false">IF(OR(AI447="",AC447=""),"",IFERROR((AI447-AC447)/AI447,""))</f>
        <v/>
      </c>
      <c r="AK447" s="53" t="str">
        <f aca="false">IF(OR(AJ447="",AE447=""),"",AJ447-AE447)</f>
        <v/>
      </c>
      <c r="AL447" s="54" t="str">
        <f aca="false">IF(OR(AH447="",AF447=""),"",AH447-AF447)</f>
        <v/>
      </c>
      <c r="AM447" s="55" t="str">
        <f aca="false">IF(OR(A447="",K447&lt;&gt;"SI"),"",IF(AE447="","Sin objetivo",IF(AJ447="","Faltan datos",IF(AJ447&lt;0,"PÉRDIDA",IF(AK447&lt;-UMB_CRITICO,"MUY POR DEBAJO",IF(AK447&lt;-UMB_BAJO,"POR DEBAJO",IF(AK447&lt;-UMB_AJUSTADO,"AJUSTADO",IF(AK447&lt;=UMB_ALTO,"EN OBJETIVO","POR ENCIMA"))))))))</f>
        <v/>
      </c>
      <c r="AN447" s="44"/>
      <c r="AO447" s="44"/>
      <c r="AP447" s="46"/>
      <c r="AQ447" s="46"/>
      <c r="AR447" s="46"/>
      <c r="AS447" s="44"/>
      <c r="AT447" s="44"/>
      <c r="AU447" s="44"/>
      <c r="AV447" s="44"/>
      <c r="AW447" s="44"/>
      <c r="AX447" s="45"/>
      <c r="AY447" s="44"/>
      <c r="AZ447" s="56"/>
      <c r="BA447" s="45"/>
    </row>
    <row r="448" customFormat="false" ht="15" hidden="false" customHeight="false" outlineLevel="0" collapsed="false">
      <c r="A448" s="44"/>
      <c r="B448" s="44"/>
      <c r="C448" s="45"/>
      <c r="D448" s="45"/>
      <c r="E448" s="44"/>
      <c r="F448" s="44"/>
      <c r="G448" s="44"/>
      <c r="H448" s="44"/>
      <c r="I448" s="44"/>
      <c r="J448" s="44"/>
      <c r="K448" s="44"/>
      <c r="L448" s="44"/>
      <c r="M448" s="44"/>
      <c r="N448" s="44"/>
      <c r="O448" s="46"/>
      <c r="P448" s="44"/>
      <c r="Q448" s="46"/>
      <c r="R448" s="44"/>
      <c r="S448" s="45"/>
      <c r="T448" s="44"/>
      <c r="U448" s="44"/>
      <c r="V448" s="47"/>
      <c r="W448" s="48" t="str">
        <f aca="false">IF(V448="","",IFERROR(V448/O448,""))</f>
        <v/>
      </c>
      <c r="X448" s="44"/>
      <c r="Y448" s="46"/>
      <c r="Z448" s="49"/>
      <c r="AA448" s="44"/>
      <c r="AB448" s="50" t="str">
        <f aca="false">IFERROR(INDEX(TABLA_IVA!$C$3:$C$6,MATCH(AA448,TABLA_IVA!$A$3:$A$6,0)),"")</f>
        <v/>
      </c>
      <c r="AC448" s="47"/>
      <c r="AD448" s="44"/>
      <c r="AE448" s="51"/>
      <c r="AF448" s="52" t="str">
        <f aca="false">IF(OR(AC448="",AE448="",AB448=""),"",IFERROR(AC448/(1-AE448)*(1+AB448),""))</f>
        <v/>
      </c>
      <c r="AG448" s="47"/>
      <c r="AH448" s="52" t="str">
        <f aca="false">IF(AD448="FIJO",IF(AG448="","",AG448),IF(AF448&lt;&gt;"",AF448,IF(AG448="","",AG448)))</f>
        <v/>
      </c>
      <c r="AI448" s="52" t="str">
        <f aca="false">IF(OR(AH448="",AB448=""),"",IFERROR(AH448/(1+AB448),""))</f>
        <v/>
      </c>
      <c r="AJ448" s="50" t="str">
        <f aca="false">IF(OR(AI448="",AC448=""),"",IFERROR((AI448-AC448)/AI448,""))</f>
        <v/>
      </c>
      <c r="AK448" s="53" t="str">
        <f aca="false">IF(OR(AJ448="",AE448=""),"",AJ448-AE448)</f>
        <v/>
      </c>
      <c r="AL448" s="54" t="str">
        <f aca="false">IF(OR(AH448="",AF448=""),"",AH448-AF448)</f>
        <v/>
      </c>
      <c r="AM448" s="55" t="str">
        <f aca="false">IF(OR(A448="",K448&lt;&gt;"SI"),"",IF(AE448="","Sin objetivo",IF(AJ448="","Faltan datos",IF(AJ448&lt;0,"PÉRDIDA",IF(AK448&lt;-UMB_CRITICO,"MUY POR DEBAJO",IF(AK448&lt;-UMB_BAJO,"POR DEBAJO",IF(AK448&lt;-UMB_AJUSTADO,"AJUSTADO",IF(AK448&lt;=UMB_ALTO,"EN OBJETIVO","POR ENCIMA"))))))))</f>
        <v/>
      </c>
      <c r="AN448" s="44"/>
      <c r="AO448" s="44"/>
      <c r="AP448" s="46"/>
      <c r="AQ448" s="46"/>
      <c r="AR448" s="46"/>
      <c r="AS448" s="44"/>
      <c r="AT448" s="44"/>
      <c r="AU448" s="44"/>
      <c r="AV448" s="44"/>
      <c r="AW448" s="44"/>
      <c r="AX448" s="45"/>
      <c r="AY448" s="44"/>
      <c r="AZ448" s="56"/>
      <c r="BA448" s="45"/>
    </row>
    <row r="449" customFormat="false" ht="15" hidden="false" customHeight="false" outlineLevel="0" collapsed="false">
      <c r="A449" s="44"/>
      <c r="B449" s="44"/>
      <c r="C449" s="45"/>
      <c r="D449" s="45"/>
      <c r="E449" s="44"/>
      <c r="F449" s="44"/>
      <c r="G449" s="44"/>
      <c r="H449" s="44"/>
      <c r="I449" s="44"/>
      <c r="J449" s="44"/>
      <c r="K449" s="44"/>
      <c r="L449" s="44"/>
      <c r="M449" s="44"/>
      <c r="N449" s="44"/>
      <c r="O449" s="46"/>
      <c r="P449" s="44"/>
      <c r="Q449" s="46"/>
      <c r="R449" s="44"/>
      <c r="S449" s="45"/>
      <c r="T449" s="44"/>
      <c r="U449" s="44"/>
      <c r="V449" s="47"/>
      <c r="W449" s="48" t="str">
        <f aca="false">IF(V449="","",IFERROR(V449/O449,""))</f>
        <v/>
      </c>
      <c r="X449" s="44"/>
      <c r="Y449" s="46"/>
      <c r="Z449" s="49"/>
      <c r="AA449" s="44"/>
      <c r="AB449" s="50" t="str">
        <f aca="false">IFERROR(INDEX(TABLA_IVA!$C$3:$C$6,MATCH(AA449,TABLA_IVA!$A$3:$A$6,0)),"")</f>
        <v/>
      </c>
      <c r="AC449" s="47"/>
      <c r="AD449" s="44"/>
      <c r="AE449" s="51"/>
      <c r="AF449" s="52" t="str">
        <f aca="false">IF(OR(AC449="",AE449="",AB449=""),"",IFERROR(AC449/(1-AE449)*(1+AB449),""))</f>
        <v/>
      </c>
      <c r="AG449" s="47"/>
      <c r="AH449" s="52" t="str">
        <f aca="false">IF(AD449="FIJO",IF(AG449="","",AG449),IF(AF449&lt;&gt;"",AF449,IF(AG449="","",AG449)))</f>
        <v/>
      </c>
      <c r="AI449" s="52" t="str">
        <f aca="false">IF(OR(AH449="",AB449=""),"",IFERROR(AH449/(1+AB449),""))</f>
        <v/>
      </c>
      <c r="AJ449" s="50" t="str">
        <f aca="false">IF(OR(AI449="",AC449=""),"",IFERROR((AI449-AC449)/AI449,""))</f>
        <v/>
      </c>
      <c r="AK449" s="53" t="str">
        <f aca="false">IF(OR(AJ449="",AE449=""),"",AJ449-AE449)</f>
        <v/>
      </c>
      <c r="AL449" s="54" t="str">
        <f aca="false">IF(OR(AH449="",AF449=""),"",AH449-AF449)</f>
        <v/>
      </c>
      <c r="AM449" s="55" t="str">
        <f aca="false">IF(OR(A449="",K449&lt;&gt;"SI"),"",IF(AE449="","Sin objetivo",IF(AJ449="","Faltan datos",IF(AJ449&lt;0,"PÉRDIDA",IF(AK449&lt;-UMB_CRITICO,"MUY POR DEBAJO",IF(AK449&lt;-UMB_BAJO,"POR DEBAJO",IF(AK449&lt;-UMB_AJUSTADO,"AJUSTADO",IF(AK449&lt;=UMB_ALTO,"EN OBJETIVO","POR ENCIMA"))))))))</f>
        <v/>
      </c>
      <c r="AN449" s="44"/>
      <c r="AO449" s="44"/>
      <c r="AP449" s="46"/>
      <c r="AQ449" s="46"/>
      <c r="AR449" s="46"/>
      <c r="AS449" s="44"/>
      <c r="AT449" s="44"/>
      <c r="AU449" s="44"/>
      <c r="AV449" s="44"/>
      <c r="AW449" s="44"/>
      <c r="AX449" s="45"/>
      <c r="AY449" s="44"/>
      <c r="AZ449" s="56"/>
      <c r="BA449" s="45"/>
    </row>
    <row r="450" customFormat="false" ht="15" hidden="false" customHeight="false" outlineLevel="0" collapsed="false">
      <c r="A450" s="44"/>
      <c r="B450" s="44"/>
      <c r="C450" s="45"/>
      <c r="D450" s="45"/>
      <c r="E450" s="44"/>
      <c r="F450" s="44"/>
      <c r="G450" s="44"/>
      <c r="H450" s="44"/>
      <c r="I450" s="44"/>
      <c r="J450" s="44"/>
      <c r="K450" s="44"/>
      <c r="L450" s="44"/>
      <c r="M450" s="44"/>
      <c r="N450" s="44"/>
      <c r="O450" s="46"/>
      <c r="P450" s="44"/>
      <c r="Q450" s="46"/>
      <c r="R450" s="44"/>
      <c r="S450" s="45"/>
      <c r="T450" s="44"/>
      <c r="U450" s="44"/>
      <c r="V450" s="47"/>
      <c r="W450" s="48" t="str">
        <f aca="false">IF(V450="","",IFERROR(V450/O450,""))</f>
        <v/>
      </c>
      <c r="X450" s="44"/>
      <c r="Y450" s="46"/>
      <c r="Z450" s="49"/>
      <c r="AA450" s="44"/>
      <c r="AB450" s="50" t="str">
        <f aca="false">IFERROR(INDEX(TABLA_IVA!$C$3:$C$6,MATCH(AA450,TABLA_IVA!$A$3:$A$6,0)),"")</f>
        <v/>
      </c>
      <c r="AC450" s="47"/>
      <c r="AD450" s="44"/>
      <c r="AE450" s="51"/>
      <c r="AF450" s="52" t="str">
        <f aca="false">IF(OR(AC450="",AE450="",AB450=""),"",IFERROR(AC450/(1-AE450)*(1+AB450),""))</f>
        <v/>
      </c>
      <c r="AG450" s="47"/>
      <c r="AH450" s="52" t="str">
        <f aca="false">IF(AD450="FIJO",IF(AG450="","",AG450),IF(AF450&lt;&gt;"",AF450,IF(AG450="","",AG450)))</f>
        <v/>
      </c>
      <c r="AI450" s="52" t="str">
        <f aca="false">IF(OR(AH450="",AB450=""),"",IFERROR(AH450/(1+AB450),""))</f>
        <v/>
      </c>
      <c r="AJ450" s="50" t="str">
        <f aca="false">IF(OR(AI450="",AC450=""),"",IFERROR((AI450-AC450)/AI450,""))</f>
        <v/>
      </c>
      <c r="AK450" s="53" t="str">
        <f aca="false">IF(OR(AJ450="",AE450=""),"",AJ450-AE450)</f>
        <v/>
      </c>
      <c r="AL450" s="54" t="str">
        <f aca="false">IF(OR(AH450="",AF450=""),"",AH450-AF450)</f>
        <v/>
      </c>
      <c r="AM450" s="55" t="str">
        <f aca="false">IF(OR(A450="",K450&lt;&gt;"SI"),"",IF(AE450="","Sin objetivo",IF(AJ450="","Faltan datos",IF(AJ450&lt;0,"PÉRDIDA",IF(AK450&lt;-UMB_CRITICO,"MUY POR DEBAJO",IF(AK450&lt;-UMB_BAJO,"POR DEBAJO",IF(AK450&lt;-UMB_AJUSTADO,"AJUSTADO",IF(AK450&lt;=UMB_ALTO,"EN OBJETIVO","POR ENCIMA"))))))))</f>
        <v/>
      </c>
      <c r="AN450" s="44"/>
      <c r="AO450" s="44"/>
      <c r="AP450" s="46"/>
      <c r="AQ450" s="46"/>
      <c r="AR450" s="46"/>
      <c r="AS450" s="44"/>
      <c r="AT450" s="44"/>
      <c r="AU450" s="44"/>
      <c r="AV450" s="44"/>
      <c r="AW450" s="44"/>
      <c r="AX450" s="45"/>
      <c r="AY450" s="44"/>
      <c r="AZ450" s="56"/>
      <c r="BA450" s="45"/>
    </row>
    <row r="451" customFormat="false" ht="15" hidden="false" customHeight="false" outlineLevel="0" collapsed="false">
      <c r="A451" s="44"/>
      <c r="B451" s="44"/>
      <c r="C451" s="45"/>
      <c r="D451" s="45"/>
      <c r="E451" s="44"/>
      <c r="F451" s="44"/>
      <c r="G451" s="44"/>
      <c r="H451" s="44"/>
      <c r="I451" s="44"/>
      <c r="J451" s="44"/>
      <c r="K451" s="44"/>
      <c r="L451" s="44"/>
      <c r="M451" s="44"/>
      <c r="N451" s="44"/>
      <c r="O451" s="46"/>
      <c r="P451" s="44"/>
      <c r="Q451" s="46"/>
      <c r="R451" s="44"/>
      <c r="S451" s="45"/>
      <c r="T451" s="44"/>
      <c r="U451" s="44"/>
      <c r="V451" s="47"/>
      <c r="W451" s="48" t="str">
        <f aca="false">IF(V451="","",IFERROR(V451/O451,""))</f>
        <v/>
      </c>
      <c r="X451" s="44"/>
      <c r="Y451" s="46"/>
      <c r="Z451" s="49"/>
      <c r="AA451" s="44"/>
      <c r="AB451" s="50" t="str">
        <f aca="false">IFERROR(INDEX(TABLA_IVA!$C$3:$C$6,MATCH(AA451,TABLA_IVA!$A$3:$A$6,0)),"")</f>
        <v/>
      </c>
      <c r="AC451" s="47"/>
      <c r="AD451" s="44"/>
      <c r="AE451" s="51"/>
      <c r="AF451" s="52" t="str">
        <f aca="false">IF(OR(AC451="",AE451="",AB451=""),"",IFERROR(AC451/(1-AE451)*(1+AB451),""))</f>
        <v/>
      </c>
      <c r="AG451" s="47"/>
      <c r="AH451" s="52" t="str">
        <f aca="false">IF(AD451="FIJO",IF(AG451="","",AG451),IF(AF451&lt;&gt;"",AF451,IF(AG451="","",AG451)))</f>
        <v/>
      </c>
      <c r="AI451" s="52" t="str">
        <f aca="false">IF(OR(AH451="",AB451=""),"",IFERROR(AH451/(1+AB451),""))</f>
        <v/>
      </c>
      <c r="AJ451" s="50" t="str">
        <f aca="false">IF(OR(AI451="",AC451=""),"",IFERROR((AI451-AC451)/AI451,""))</f>
        <v/>
      </c>
      <c r="AK451" s="53" t="str">
        <f aca="false">IF(OR(AJ451="",AE451=""),"",AJ451-AE451)</f>
        <v/>
      </c>
      <c r="AL451" s="54" t="str">
        <f aca="false">IF(OR(AH451="",AF451=""),"",AH451-AF451)</f>
        <v/>
      </c>
      <c r="AM451" s="55" t="str">
        <f aca="false">IF(OR(A451="",K451&lt;&gt;"SI"),"",IF(AE451="","Sin objetivo",IF(AJ451="","Faltan datos",IF(AJ451&lt;0,"PÉRDIDA",IF(AK451&lt;-UMB_CRITICO,"MUY POR DEBAJO",IF(AK451&lt;-UMB_BAJO,"POR DEBAJO",IF(AK451&lt;-UMB_AJUSTADO,"AJUSTADO",IF(AK451&lt;=UMB_ALTO,"EN OBJETIVO","POR ENCIMA"))))))))</f>
        <v/>
      </c>
      <c r="AN451" s="44"/>
      <c r="AO451" s="44"/>
      <c r="AP451" s="46"/>
      <c r="AQ451" s="46"/>
      <c r="AR451" s="46"/>
      <c r="AS451" s="44"/>
      <c r="AT451" s="44"/>
      <c r="AU451" s="44"/>
      <c r="AV451" s="44"/>
      <c r="AW451" s="44"/>
      <c r="AX451" s="45"/>
      <c r="AY451" s="44"/>
      <c r="AZ451" s="56"/>
      <c r="BA451" s="45"/>
    </row>
    <row r="452" customFormat="false" ht="15" hidden="false" customHeight="false" outlineLevel="0" collapsed="false">
      <c r="A452" s="44"/>
      <c r="B452" s="44"/>
      <c r="C452" s="45"/>
      <c r="D452" s="45"/>
      <c r="E452" s="44"/>
      <c r="F452" s="44"/>
      <c r="G452" s="44"/>
      <c r="H452" s="44"/>
      <c r="I452" s="44"/>
      <c r="J452" s="44"/>
      <c r="K452" s="44"/>
      <c r="L452" s="44"/>
      <c r="M452" s="44"/>
      <c r="N452" s="44"/>
      <c r="O452" s="46"/>
      <c r="P452" s="44"/>
      <c r="Q452" s="46"/>
      <c r="R452" s="44"/>
      <c r="S452" s="45"/>
      <c r="T452" s="44"/>
      <c r="U452" s="44"/>
      <c r="V452" s="47"/>
      <c r="W452" s="48" t="str">
        <f aca="false">IF(V452="","",IFERROR(V452/O452,""))</f>
        <v/>
      </c>
      <c r="X452" s="44"/>
      <c r="Y452" s="46"/>
      <c r="Z452" s="49"/>
      <c r="AA452" s="44"/>
      <c r="AB452" s="50" t="str">
        <f aca="false">IFERROR(INDEX(TABLA_IVA!$C$3:$C$6,MATCH(AA452,TABLA_IVA!$A$3:$A$6,0)),"")</f>
        <v/>
      </c>
      <c r="AC452" s="47"/>
      <c r="AD452" s="44"/>
      <c r="AE452" s="51"/>
      <c r="AF452" s="52" t="str">
        <f aca="false">IF(OR(AC452="",AE452="",AB452=""),"",IFERROR(AC452/(1-AE452)*(1+AB452),""))</f>
        <v/>
      </c>
      <c r="AG452" s="47"/>
      <c r="AH452" s="52" t="str">
        <f aca="false">IF(AD452="FIJO",IF(AG452="","",AG452),IF(AF452&lt;&gt;"",AF452,IF(AG452="","",AG452)))</f>
        <v/>
      </c>
      <c r="AI452" s="52" t="str">
        <f aca="false">IF(OR(AH452="",AB452=""),"",IFERROR(AH452/(1+AB452),""))</f>
        <v/>
      </c>
      <c r="AJ452" s="50" t="str">
        <f aca="false">IF(OR(AI452="",AC452=""),"",IFERROR((AI452-AC452)/AI452,""))</f>
        <v/>
      </c>
      <c r="AK452" s="53" t="str">
        <f aca="false">IF(OR(AJ452="",AE452=""),"",AJ452-AE452)</f>
        <v/>
      </c>
      <c r="AL452" s="54" t="str">
        <f aca="false">IF(OR(AH452="",AF452=""),"",AH452-AF452)</f>
        <v/>
      </c>
      <c r="AM452" s="55" t="str">
        <f aca="false">IF(OR(A452="",K452&lt;&gt;"SI"),"",IF(AE452="","Sin objetivo",IF(AJ452="","Faltan datos",IF(AJ452&lt;0,"PÉRDIDA",IF(AK452&lt;-UMB_CRITICO,"MUY POR DEBAJO",IF(AK452&lt;-UMB_BAJO,"POR DEBAJO",IF(AK452&lt;-UMB_AJUSTADO,"AJUSTADO",IF(AK452&lt;=UMB_ALTO,"EN OBJETIVO","POR ENCIMA"))))))))</f>
        <v/>
      </c>
      <c r="AN452" s="44"/>
      <c r="AO452" s="44"/>
      <c r="AP452" s="46"/>
      <c r="AQ452" s="46"/>
      <c r="AR452" s="46"/>
      <c r="AS452" s="44"/>
      <c r="AT452" s="44"/>
      <c r="AU452" s="44"/>
      <c r="AV452" s="44"/>
      <c r="AW452" s="44"/>
      <c r="AX452" s="45"/>
      <c r="AY452" s="44"/>
      <c r="AZ452" s="56"/>
      <c r="BA452" s="45"/>
    </row>
    <row r="453" customFormat="false" ht="15" hidden="false" customHeight="false" outlineLevel="0" collapsed="false">
      <c r="A453" s="44"/>
      <c r="B453" s="44"/>
      <c r="C453" s="45"/>
      <c r="D453" s="45"/>
      <c r="E453" s="44"/>
      <c r="F453" s="44"/>
      <c r="G453" s="44"/>
      <c r="H453" s="44"/>
      <c r="I453" s="44"/>
      <c r="J453" s="44"/>
      <c r="K453" s="44"/>
      <c r="L453" s="44"/>
      <c r="M453" s="44"/>
      <c r="N453" s="44"/>
      <c r="O453" s="46"/>
      <c r="P453" s="44"/>
      <c r="Q453" s="46"/>
      <c r="R453" s="44"/>
      <c r="S453" s="45"/>
      <c r="T453" s="44"/>
      <c r="U453" s="44"/>
      <c r="V453" s="47"/>
      <c r="W453" s="48" t="str">
        <f aca="false">IF(V453="","",IFERROR(V453/O453,""))</f>
        <v/>
      </c>
      <c r="X453" s="44"/>
      <c r="Y453" s="46"/>
      <c r="Z453" s="49"/>
      <c r="AA453" s="44"/>
      <c r="AB453" s="50" t="str">
        <f aca="false">IFERROR(INDEX(TABLA_IVA!$C$3:$C$6,MATCH(AA453,TABLA_IVA!$A$3:$A$6,0)),"")</f>
        <v/>
      </c>
      <c r="AC453" s="47"/>
      <c r="AD453" s="44"/>
      <c r="AE453" s="51"/>
      <c r="AF453" s="52" t="str">
        <f aca="false">IF(OR(AC453="",AE453="",AB453=""),"",IFERROR(AC453/(1-AE453)*(1+AB453),""))</f>
        <v/>
      </c>
      <c r="AG453" s="47"/>
      <c r="AH453" s="52" t="str">
        <f aca="false">IF(AD453="FIJO",IF(AG453="","",AG453),IF(AF453&lt;&gt;"",AF453,IF(AG453="","",AG453)))</f>
        <v/>
      </c>
      <c r="AI453" s="52" t="str">
        <f aca="false">IF(OR(AH453="",AB453=""),"",IFERROR(AH453/(1+AB453),""))</f>
        <v/>
      </c>
      <c r="AJ453" s="50" t="str">
        <f aca="false">IF(OR(AI453="",AC453=""),"",IFERROR((AI453-AC453)/AI453,""))</f>
        <v/>
      </c>
      <c r="AK453" s="53" t="str">
        <f aca="false">IF(OR(AJ453="",AE453=""),"",AJ453-AE453)</f>
        <v/>
      </c>
      <c r="AL453" s="54" t="str">
        <f aca="false">IF(OR(AH453="",AF453=""),"",AH453-AF453)</f>
        <v/>
      </c>
      <c r="AM453" s="55" t="str">
        <f aca="false">IF(OR(A453="",K453&lt;&gt;"SI"),"",IF(AE453="","Sin objetivo",IF(AJ453="","Faltan datos",IF(AJ453&lt;0,"PÉRDIDA",IF(AK453&lt;-UMB_CRITICO,"MUY POR DEBAJO",IF(AK453&lt;-UMB_BAJO,"POR DEBAJO",IF(AK453&lt;-UMB_AJUSTADO,"AJUSTADO",IF(AK453&lt;=UMB_ALTO,"EN OBJETIVO","POR ENCIMA"))))))))</f>
        <v/>
      </c>
      <c r="AN453" s="44"/>
      <c r="AO453" s="44"/>
      <c r="AP453" s="46"/>
      <c r="AQ453" s="46"/>
      <c r="AR453" s="46"/>
      <c r="AS453" s="44"/>
      <c r="AT453" s="44"/>
      <c r="AU453" s="44"/>
      <c r="AV453" s="44"/>
      <c r="AW453" s="44"/>
      <c r="AX453" s="45"/>
      <c r="AY453" s="44"/>
      <c r="AZ453" s="56"/>
      <c r="BA453" s="45"/>
    </row>
    <row r="454" customFormat="false" ht="15" hidden="false" customHeight="false" outlineLevel="0" collapsed="false">
      <c r="A454" s="44"/>
      <c r="B454" s="44"/>
      <c r="C454" s="45"/>
      <c r="D454" s="45"/>
      <c r="E454" s="44"/>
      <c r="F454" s="44"/>
      <c r="G454" s="44"/>
      <c r="H454" s="44"/>
      <c r="I454" s="44"/>
      <c r="J454" s="44"/>
      <c r="K454" s="44"/>
      <c r="L454" s="44"/>
      <c r="M454" s="44"/>
      <c r="N454" s="44"/>
      <c r="O454" s="46"/>
      <c r="P454" s="44"/>
      <c r="Q454" s="46"/>
      <c r="R454" s="44"/>
      <c r="S454" s="45"/>
      <c r="T454" s="44"/>
      <c r="U454" s="44"/>
      <c r="V454" s="47"/>
      <c r="W454" s="48" t="str">
        <f aca="false">IF(V454="","",IFERROR(V454/O454,""))</f>
        <v/>
      </c>
      <c r="X454" s="44"/>
      <c r="Y454" s="46"/>
      <c r="Z454" s="49"/>
      <c r="AA454" s="44"/>
      <c r="AB454" s="50" t="str">
        <f aca="false">IFERROR(INDEX(TABLA_IVA!$C$3:$C$6,MATCH(AA454,TABLA_IVA!$A$3:$A$6,0)),"")</f>
        <v/>
      </c>
      <c r="AC454" s="47"/>
      <c r="AD454" s="44"/>
      <c r="AE454" s="51"/>
      <c r="AF454" s="52" t="str">
        <f aca="false">IF(OR(AC454="",AE454="",AB454=""),"",IFERROR(AC454/(1-AE454)*(1+AB454),""))</f>
        <v/>
      </c>
      <c r="AG454" s="47"/>
      <c r="AH454" s="52" t="str">
        <f aca="false">IF(AD454="FIJO",IF(AG454="","",AG454),IF(AF454&lt;&gt;"",AF454,IF(AG454="","",AG454)))</f>
        <v/>
      </c>
      <c r="AI454" s="52" t="str">
        <f aca="false">IF(OR(AH454="",AB454=""),"",IFERROR(AH454/(1+AB454),""))</f>
        <v/>
      </c>
      <c r="AJ454" s="50" t="str">
        <f aca="false">IF(OR(AI454="",AC454=""),"",IFERROR((AI454-AC454)/AI454,""))</f>
        <v/>
      </c>
      <c r="AK454" s="53" t="str">
        <f aca="false">IF(OR(AJ454="",AE454=""),"",AJ454-AE454)</f>
        <v/>
      </c>
      <c r="AL454" s="54" t="str">
        <f aca="false">IF(OR(AH454="",AF454=""),"",AH454-AF454)</f>
        <v/>
      </c>
      <c r="AM454" s="55" t="str">
        <f aca="false">IF(OR(A454="",K454&lt;&gt;"SI"),"",IF(AE454="","Sin objetivo",IF(AJ454="","Faltan datos",IF(AJ454&lt;0,"PÉRDIDA",IF(AK454&lt;-UMB_CRITICO,"MUY POR DEBAJO",IF(AK454&lt;-UMB_BAJO,"POR DEBAJO",IF(AK454&lt;-UMB_AJUSTADO,"AJUSTADO",IF(AK454&lt;=UMB_ALTO,"EN OBJETIVO","POR ENCIMA"))))))))</f>
        <v/>
      </c>
      <c r="AN454" s="44"/>
      <c r="AO454" s="44"/>
      <c r="AP454" s="46"/>
      <c r="AQ454" s="46"/>
      <c r="AR454" s="46"/>
      <c r="AS454" s="44"/>
      <c r="AT454" s="44"/>
      <c r="AU454" s="44"/>
      <c r="AV454" s="44"/>
      <c r="AW454" s="44"/>
      <c r="AX454" s="45"/>
      <c r="AY454" s="44"/>
      <c r="AZ454" s="56"/>
      <c r="BA454" s="45"/>
    </row>
    <row r="455" customFormat="false" ht="15" hidden="false" customHeight="false" outlineLevel="0" collapsed="false">
      <c r="A455" s="44"/>
      <c r="B455" s="44"/>
      <c r="C455" s="45"/>
      <c r="D455" s="45"/>
      <c r="E455" s="44"/>
      <c r="F455" s="44"/>
      <c r="G455" s="44"/>
      <c r="H455" s="44"/>
      <c r="I455" s="44"/>
      <c r="J455" s="44"/>
      <c r="K455" s="44"/>
      <c r="L455" s="44"/>
      <c r="M455" s="44"/>
      <c r="N455" s="44"/>
      <c r="O455" s="46"/>
      <c r="P455" s="44"/>
      <c r="Q455" s="46"/>
      <c r="R455" s="44"/>
      <c r="S455" s="45"/>
      <c r="T455" s="44"/>
      <c r="U455" s="44"/>
      <c r="V455" s="47"/>
      <c r="W455" s="48" t="str">
        <f aca="false">IF(V455="","",IFERROR(V455/O455,""))</f>
        <v/>
      </c>
      <c r="X455" s="44"/>
      <c r="Y455" s="46"/>
      <c r="Z455" s="49"/>
      <c r="AA455" s="44"/>
      <c r="AB455" s="50" t="str">
        <f aca="false">IFERROR(INDEX(TABLA_IVA!$C$3:$C$6,MATCH(AA455,TABLA_IVA!$A$3:$A$6,0)),"")</f>
        <v/>
      </c>
      <c r="AC455" s="47"/>
      <c r="AD455" s="44"/>
      <c r="AE455" s="51"/>
      <c r="AF455" s="52" t="str">
        <f aca="false">IF(OR(AC455="",AE455="",AB455=""),"",IFERROR(AC455/(1-AE455)*(1+AB455),""))</f>
        <v/>
      </c>
      <c r="AG455" s="47"/>
      <c r="AH455" s="52" t="str">
        <f aca="false">IF(AD455="FIJO",IF(AG455="","",AG455),IF(AF455&lt;&gt;"",AF455,IF(AG455="","",AG455)))</f>
        <v/>
      </c>
      <c r="AI455" s="52" t="str">
        <f aca="false">IF(OR(AH455="",AB455=""),"",IFERROR(AH455/(1+AB455),""))</f>
        <v/>
      </c>
      <c r="AJ455" s="50" t="str">
        <f aca="false">IF(OR(AI455="",AC455=""),"",IFERROR((AI455-AC455)/AI455,""))</f>
        <v/>
      </c>
      <c r="AK455" s="53" t="str">
        <f aca="false">IF(OR(AJ455="",AE455=""),"",AJ455-AE455)</f>
        <v/>
      </c>
      <c r="AL455" s="54" t="str">
        <f aca="false">IF(OR(AH455="",AF455=""),"",AH455-AF455)</f>
        <v/>
      </c>
      <c r="AM455" s="55" t="str">
        <f aca="false">IF(OR(A455="",K455&lt;&gt;"SI"),"",IF(AE455="","Sin objetivo",IF(AJ455="","Faltan datos",IF(AJ455&lt;0,"PÉRDIDA",IF(AK455&lt;-UMB_CRITICO,"MUY POR DEBAJO",IF(AK455&lt;-UMB_BAJO,"POR DEBAJO",IF(AK455&lt;-UMB_AJUSTADO,"AJUSTADO",IF(AK455&lt;=UMB_ALTO,"EN OBJETIVO","POR ENCIMA"))))))))</f>
        <v/>
      </c>
      <c r="AN455" s="44"/>
      <c r="AO455" s="44"/>
      <c r="AP455" s="46"/>
      <c r="AQ455" s="46"/>
      <c r="AR455" s="46"/>
      <c r="AS455" s="44"/>
      <c r="AT455" s="44"/>
      <c r="AU455" s="44"/>
      <c r="AV455" s="44"/>
      <c r="AW455" s="44"/>
      <c r="AX455" s="45"/>
      <c r="AY455" s="44"/>
      <c r="AZ455" s="56"/>
      <c r="BA455" s="45"/>
    </row>
    <row r="456" customFormat="false" ht="15" hidden="false" customHeight="false" outlineLevel="0" collapsed="false">
      <c r="A456" s="44"/>
      <c r="B456" s="44"/>
      <c r="C456" s="45"/>
      <c r="D456" s="45"/>
      <c r="E456" s="44"/>
      <c r="F456" s="44"/>
      <c r="G456" s="44"/>
      <c r="H456" s="44"/>
      <c r="I456" s="44"/>
      <c r="J456" s="44"/>
      <c r="K456" s="44"/>
      <c r="L456" s="44"/>
      <c r="M456" s="44"/>
      <c r="N456" s="44"/>
      <c r="O456" s="46"/>
      <c r="P456" s="44"/>
      <c r="Q456" s="46"/>
      <c r="R456" s="44"/>
      <c r="S456" s="45"/>
      <c r="T456" s="44"/>
      <c r="U456" s="44"/>
      <c r="V456" s="47"/>
      <c r="W456" s="48" t="str">
        <f aca="false">IF(V456="","",IFERROR(V456/O456,""))</f>
        <v/>
      </c>
      <c r="X456" s="44"/>
      <c r="Y456" s="46"/>
      <c r="Z456" s="49"/>
      <c r="AA456" s="44"/>
      <c r="AB456" s="50" t="str">
        <f aca="false">IFERROR(INDEX(TABLA_IVA!$C$3:$C$6,MATCH(AA456,TABLA_IVA!$A$3:$A$6,0)),"")</f>
        <v/>
      </c>
      <c r="AC456" s="47"/>
      <c r="AD456" s="44"/>
      <c r="AE456" s="51"/>
      <c r="AF456" s="52" t="str">
        <f aca="false">IF(OR(AC456="",AE456="",AB456=""),"",IFERROR(AC456/(1-AE456)*(1+AB456),""))</f>
        <v/>
      </c>
      <c r="AG456" s="47"/>
      <c r="AH456" s="52" t="str">
        <f aca="false">IF(AD456="FIJO",IF(AG456="","",AG456),IF(AF456&lt;&gt;"",AF456,IF(AG456="","",AG456)))</f>
        <v/>
      </c>
      <c r="AI456" s="52" t="str">
        <f aca="false">IF(OR(AH456="",AB456=""),"",IFERROR(AH456/(1+AB456),""))</f>
        <v/>
      </c>
      <c r="AJ456" s="50" t="str">
        <f aca="false">IF(OR(AI456="",AC456=""),"",IFERROR((AI456-AC456)/AI456,""))</f>
        <v/>
      </c>
      <c r="AK456" s="53" t="str">
        <f aca="false">IF(OR(AJ456="",AE456=""),"",AJ456-AE456)</f>
        <v/>
      </c>
      <c r="AL456" s="54" t="str">
        <f aca="false">IF(OR(AH456="",AF456=""),"",AH456-AF456)</f>
        <v/>
      </c>
      <c r="AM456" s="55" t="str">
        <f aca="false">IF(OR(A456="",K456&lt;&gt;"SI"),"",IF(AE456="","Sin objetivo",IF(AJ456="","Faltan datos",IF(AJ456&lt;0,"PÉRDIDA",IF(AK456&lt;-UMB_CRITICO,"MUY POR DEBAJO",IF(AK456&lt;-UMB_BAJO,"POR DEBAJO",IF(AK456&lt;-UMB_AJUSTADO,"AJUSTADO",IF(AK456&lt;=UMB_ALTO,"EN OBJETIVO","POR ENCIMA"))))))))</f>
        <v/>
      </c>
      <c r="AN456" s="44"/>
      <c r="AO456" s="44"/>
      <c r="AP456" s="46"/>
      <c r="AQ456" s="46"/>
      <c r="AR456" s="46"/>
      <c r="AS456" s="44"/>
      <c r="AT456" s="44"/>
      <c r="AU456" s="44"/>
      <c r="AV456" s="44"/>
      <c r="AW456" s="44"/>
      <c r="AX456" s="45"/>
      <c r="AY456" s="44"/>
      <c r="AZ456" s="56"/>
      <c r="BA456" s="45"/>
    </row>
    <row r="457" customFormat="false" ht="15" hidden="false" customHeight="false" outlineLevel="0" collapsed="false">
      <c r="A457" s="44"/>
      <c r="B457" s="44"/>
      <c r="C457" s="45"/>
      <c r="D457" s="45"/>
      <c r="E457" s="44"/>
      <c r="F457" s="44"/>
      <c r="G457" s="44"/>
      <c r="H457" s="44"/>
      <c r="I457" s="44"/>
      <c r="J457" s="44"/>
      <c r="K457" s="44"/>
      <c r="L457" s="44"/>
      <c r="M457" s="44"/>
      <c r="N457" s="44"/>
      <c r="O457" s="46"/>
      <c r="P457" s="44"/>
      <c r="Q457" s="46"/>
      <c r="R457" s="44"/>
      <c r="S457" s="45"/>
      <c r="T457" s="44"/>
      <c r="U457" s="44"/>
      <c r="V457" s="47"/>
      <c r="W457" s="48" t="str">
        <f aca="false">IF(V457="","",IFERROR(V457/O457,""))</f>
        <v/>
      </c>
      <c r="X457" s="44"/>
      <c r="Y457" s="46"/>
      <c r="Z457" s="49"/>
      <c r="AA457" s="44"/>
      <c r="AB457" s="50" t="str">
        <f aca="false">IFERROR(INDEX(TABLA_IVA!$C$3:$C$6,MATCH(AA457,TABLA_IVA!$A$3:$A$6,0)),"")</f>
        <v/>
      </c>
      <c r="AC457" s="47"/>
      <c r="AD457" s="44"/>
      <c r="AE457" s="51"/>
      <c r="AF457" s="52" t="str">
        <f aca="false">IF(OR(AC457="",AE457="",AB457=""),"",IFERROR(AC457/(1-AE457)*(1+AB457),""))</f>
        <v/>
      </c>
      <c r="AG457" s="47"/>
      <c r="AH457" s="52" t="str">
        <f aca="false">IF(AD457="FIJO",IF(AG457="","",AG457),IF(AF457&lt;&gt;"",AF457,IF(AG457="","",AG457)))</f>
        <v/>
      </c>
      <c r="AI457" s="52" t="str">
        <f aca="false">IF(OR(AH457="",AB457=""),"",IFERROR(AH457/(1+AB457),""))</f>
        <v/>
      </c>
      <c r="AJ457" s="50" t="str">
        <f aca="false">IF(OR(AI457="",AC457=""),"",IFERROR((AI457-AC457)/AI457,""))</f>
        <v/>
      </c>
      <c r="AK457" s="53" t="str">
        <f aca="false">IF(OR(AJ457="",AE457=""),"",AJ457-AE457)</f>
        <v/>
      </c>
      <c r="AL457" s="54" t="str">
        <f aca="false">IF(OR(AH457="",AF457=""),"",AH457-AF457)</f>
        <v/>
      </c>
      <c r="AM457" s="55" t="str">
        <f aca="false">IF(OR(A457="",K457&lt;&gt;"SI"),"",IF(AE457="","Sin objetivo",IF(AJ457="","Faltan datos",IF(AJ457&lt;0,"PÉRDIDA",IF(AK457&lt;-UMB_CRITICO,"MUY POR DEBAJO",IF(AK457&lt;-UMB_BAJO,"POR DEBAJO",IF(AK457&lt;-UMB_AJUSTADO,"AJUSTADO",IF(AK457&lt;=UMB_ALTO,"EN OBJETIVO","POR ENCIMA"))))))))</f>
        <v/>
      </c>
      <c r="AN457" s="44"/>
      <c r="AO457" s="44"/>
      <c r="AP457" s="46"/>
      <c r="AQ457" s="46"/>
      <c r="AR457" s="46"/>
      <c r="AS457" s="44"/>
      <c r="AT457" s="44"/>
      <c r="AU457" s="44"/>
      <c r="AV457" s="44"/>
      <c r="AW457" s="44"/>
      <c r="AX457" s="45"/>
      <c r="AY457" s="44"/>
      <c r="AZ457" s="56"/>
      <c r="BA457" s="45"/>
    </row>
    <row r="458" customFormat="false" ht="15" hidden="false" customHeight="false" outlineLevel="0" collapsed="false">
      <c r="A458" s="44"/>
      <c r="B458" s="44"/>
      <c r="C458" s="45"/>
      <c r="D458" s="45"/>
      <c r="E458" s="44"/>
      <c r="F458" s="44"/>
      <c r="G458" s="44"/>
      <c r="H458" s="44"/>
      <c r="I458" s="44"/>
      <c r="J458" s="44"/>
      <c r="K458" s="44"/>
      <c r="L458" s="44"/>
      <c r="M458" s="44"/>
      <c r="N458" s="44"/>
      <c r="O458" s="46"/>
      <c r="P458" s="44"/>
      <c r="Q458" s="46"/>
      <c r="R458" s="44"/>
      <c r="S458" s="45"/>
      <c r="T458" s="44"/>
      <c r="U458" s="44"/>
      <c r="V458" s="47"/>
      <c r="W458" s="48" t="str">
        <f aca="false">IF(V458="","",IFERROR(V458/O458,""))</f>
        <v/>
      </c>
      <c r="X458" s="44"/>
      <c r="Y458" s="46"/>
      <c r="Z458" s="49"/>
      <c r="AA458" s="44"/>
      <c r="AB458" s="50" t="str">
        <f aca="false">IFERROR(INDEX(TABLA_IVA!$C$3:$C$6,MATCH(AA458,TABLA_IVA!$A$3:$A$6,0)),"")</f>
        <v/>
      </c>
      <c r="AC458" s="47"/>
      <c r="AD458" s="44"/>
      <c r="AE458" s="51"/>
      <c r="AF458" s="52" t="str">
        <f aca="false">IF(OR(AC458="",AE458="",AB458=""),"",IFERROR(AC458/(1-AE458)*(1+AB458),""))</f>
        <v/>
      </c>
      <c r="AG458" s="47"/>
      <c r="AH458" s="52" t="str">
        <f aca="false">IF(AD458="FIJO",IF(AG458="","",AG458),IF(AF458&lt;&gt;"",AF458,IF(AG458="","",AG458)))</f>
        <v/>
      </c>
      <c r="AI458" s="52" t="str">
        <f aca="false">IF(OR(AH458="",AB458=""),"",IFERROR(AH458/(1+AB458),""))</f>
        <v/>
      </c>
      <c r="AJ458" s="50" t="str">
        <f aca="false">IF(OR(AI458="",AC458=""),"",IFERROR((AI458-AC458)/AI458,""))</f>
        <v/>
      </c>
      <c r="AK458" s="53" t="str">
        <f aca="false">IF(OR(AJ458="",AE458=""),"",AJ458-AE458)</f>
        <v/>
      </c>
      <c r="AL458" s="54" t="str">
        <f aca="false">IF(OR(AH458="",AF458=""),"",AH458-AF458)</f>
        <v/>
      </c>
      <c r="AM458" s="55" t="str">
        <f aca="false">IF(OR(A458="",K458&lt;&gt;"SI"),"",IF(AE458="","Sin objetivo",IF(AJ458="","Faltan datos",IF(AJ458&lt;0,"PÉRDIDA",IF(AK458&lt;-UMB_CRITICO,"MUY POR DEBAJO",IF(AK458&lt;-UMB_BAJO,"POR DEBAJO",IF(AK458&lt;-UMB_AJUSTADO,"AJUSTADO",IF(AK458&lt;=UMB_ALTO,"EN OBJETIVO","POR ENCIMA"))))))))</f>
        <v/>
      </c>
      <c r="AN458" s="44"/>
      <c r="AO458" s="44"/>
      <c r="AP458" s="46"/>
      <c r="AQ458" s="46"/>
      <c r="AR458" s="46"/>
      <c r="AS458" s="44"/>
      <c r="AT458" s="44"/>
      <c r="AU458" s="44"/>
      <c r="AV458" s="44"/>
      <c r="AW458" s="44"/>
      <c r="AX458" s="45"/>
      <c r="AY458" s="44"/>
      <c r="AZ458" s="56"/>
      <c r="BA458" s="45"/>
    </row>
    <row r="459" customFormat="false" ht="15" hidden="false" customHeight="false" outlineLevel="0" collapsed="false">
      <c r="A459" s="44"/>
      <c r="B459" s="44"/>
      <c r="C459" s="45"/>
      <c r="D459" s="45"/>
      <c r="E459" s="44"/>
      <c r="F459" s="44"/>
      <c r="G459" s="44"/>
      <c r="H459" s="44"/>
      <c r="I459" s="44"/>
      <c r="J459" s="44"/>
      <c r="K459" s="44"/>
      <c r="L459" s="44"/>
      <c r="M459" s="44"/>
      <c r="N459" s="44"/>
      <c r="O459" s="46"/>
      <c r="P459" s="44"/>
      <c r="Q459" s="46"/>
      <c r="R459" s="44"/>
      <c r="S459" s="45"/>
      <c r="T459" s="44"/>
      <c r="U459" s="44"/>
      <c r="V459" s="47"/>
      <c r="W459" s="48" t="str">
        <f aca="false">IF(V459="","",IFERROR(V459/O459,""))</f>
        <v/>
      </c>
      <c r="X459" s="44"/>
      <c r="Y459" s="46"/>
      <c r="Z459" s="49"/>
      <c r="AA459" s="44"/>
      <c r="AB459" s="50" t="str">
        <f aca="false">IFERROR(INDEX(TABLA_IVA!$C$3:$C$6,MATCH(AA459,TABLA_IVA!$A$3:$A$6,0)),"")</f>
        <v/>
      </c>
      <c r="AC459" s="47"/>
      <c r="AD459" s="44"/>
      <c r="AE459" s="51"/>
      <c r="AF459" s="52" t="str">
        <f aca="false">IF(OR(AC459="",AE459="",AB459=""),"",IFERROR(AC459/(1-AE459)*(1+AB459),""))</f>
        <v/>
      </c>
      <c r="AG459" s="47"/>
      <c r="AH459" s="52" t="str">
        <f aca="false">IF(AD459="FIJO",IF(AG459="","",AG459),IF(AF459&lt;&gt;"",AF459,IF(AG459="","",AG459)))</f>
        <v/>
      </c>
      <c r="AI459" s="52" t="str">
        <f aca="false">IF(OR(AH459="",AB459=""),"",IFERROR(AH459/(1+AB459),""))</f>
        <v/>
      </c>
      <c r="AJ459" s="50" t="str">
        <f aca="false">IF(OR(AI459="",AC459=""),"",IFERROR((AI459-AC459)/AI459,""))</f>
        <v/>
      </c>
      <c r="AK459" s="53" t="str">
        <f aca="false">IF(OR(AJ459="",AE459=""),"",AJ459-AE459)</f>
        <v/>
      </c>
      <c r="AL459" s="54" t="str">
        <f aca="false">IF(OR(AH459="",AF459=""),"",AH459-AF459)</f>
        <v/>
      </c>
      <c r="AM459" s="55" t="str">
        <f aca="false">IF(OR(A459="",K459&lt;&gt;"SI"),"",IF(AE459="","Sin objetivo",IF(AJ459="","Faltan datos",IF(AJ459&lt;0,"PÉRDIDA",IF(AK459&lt;-UMB_CRITICO,"MUY POR DEBAJO",IF(AK459&lt;-UMB_BAJO,"POR DEBAJO",IF(AK459&lt;-UMB_AJUSTADO,"AJUSTADO",IF(AK459&lt;=UMB_ALTO,"EN OBJETIVO","POR ENCIMA"))))))))</f>
        <v/>
      </c>
      <c r="AN459" s="44"/>
      <c r="AO459" s="44"/>
      <c r="AP459" s="46"/>
      <c r="AQ459" s="46"/>
      <c r="AR459" s="46"/>
      <c r="AS459" s="44"/>
      <c r="AT459" s="44"/>
      <c r="AU459" s="44"/>
      <c r="AV459" s="44"/>
      <c r="AW459" s="44"/>
      <c r="AX459" s="45"/>
      <c r="AY459" s="44"/>
      <c r="AZ459" s="56"/>
      <c r="BA459" s="45"/>
    </row>
    <row r="460" customFormat="false" ht="15" hidden="false" customHeight="false" outlineLevel="0" collapsed="false">
      <c r="A460" s="44"/>
      <c r="B460" s="44"/>
      <c r="C460" s="45"/>
      <c r="D460" s="45"/>
      <c r="E460" s="44"/>
      <c r="F460" s="44"/>
      <c r="G460" s="44"/>
      <c r="H460" s="44"/>
      <c r="I460" s="44"/>
      <c r="J460" s="44"/>
      <c r="K460" s="44"/>
      <c r="L460" s="44"/>
      <c r="M460" s="44"/>
      <c r="N460" s="44"/>
      <c r="O460" s="46"/>
      <c r="P460" s="44"/>
      <c r="Q460" s="46"/>
      <c r="R460" s="44"/>
      <c r="S460" s="45"/>
      <c r="T460" s="44"/>
      <c r="U460" s="44"/>
      <c r="V460" s="47"/>
      <c r="W460" s="48" t="str">
        <f aca="false">IF(V460="","",IFERROR(V460/O460,""))</f>
        <v/>
      </c>
      <c r="X460" s="44"/>
      <c r="Y460" s="46"/>
      <c r="Z460" s="49"/>
      <c r="AA460" s="44"/>
      <c r="AB460" s="50" t="str">
        <f aca="false">IFERROR(INDEX(TABLA_IVA!$C$3:$C$6,MATCH(AA460,TABLA_IVA!$A$3:$A$6,0)),"")</f>
        <v/>
      </c>
      <c r="AC460" s="47"/>
      <c r="AD460" s="44"/>
      <c r="AE460" s="51"/>
      <c r="AF460" s="52" t="str">
        <f aca="false">IF(OR(AC460="",AE460="",AB460=""),"",IFERROR(AC460/(1-AE460)*(1+AB460),""))</f>
        <v/>
      </c>
      <c r="AG460" s="47"/>
      <c r="AH460" s="52" t="str">
        <f aca="false">IF(AD460="FIJO",IF(AG460="","",AG460),IF(AF460&lt;&gt;"",AF460,IF(AG460="","",AG460)))</f>
        <v/>
      </c>
      <c r="AI460" s="52" t="str">
        <f aca="false">IF(OR(AH460="",AB460=""),"",IFERROR(AH460/(1+AB460),""))</f>
        <v/>
      </c>
      <c r="AJ460" s="50" t="str">
        <f aca="false">IF(OR(AI460="",AC460=""),"",IFERROR((AI460-AC460)/AI460,""))</f>
        <v/>
      </c>
      <c r="AK460" s="53" t="str">
        <f aca="false">IF(OR(AJ460="",AE460=""),"",AJ460-AE460)</f>
        <v/>
      </c>
      <c r="AL460" s="54" t="str">
        <f aca="false">IF(OR(AH460="",AF460=""),"",AH460-AF460)</f>
        <v/>
      </c>
      <c r="AM460" s="55" t="str">
        <f aca="false">IF(OR(A460="",K460&lt;&gt;"SI"),"",IF(AE460="","Sin objetivo",IF(AJ460="","Faltan datos",IF(AJ460&lt;0,"PÉRDIDA",IF(AK460&lt;-UMB_CRITICO,"MUY POR DEBAJO",IF(AK460&lt;-UMB_BAJO,"POR DEBAJO",IF(AK460&lt;-UMB_AJUSTADO,"AJUSTADO",IF(AK460&lt;=UMB_ALTO,"EN OBJETIVO","POR ENCIMA"))))))))</f>
        <v/>
      </c>
      <c r="AN460" s="44"/>
      <c r="AO460" s="44"/>
      <c r="AP460" s="46"/>
      <c r="AQ460" s="46"/>
      <c r="AR460" s="46"/>
      <c r="AS460" s="44"/>
      <c r="AT460" s="44"/>
      <c r="AU460" s="44"/>
      <c r="AV460" s="44"/>
      <c r="AW460" s="44"/>
      <c r="AX460" s="45"/>
      <c r="AY460" s="44"/>
      <c r="AZ460" s="56"/>
      <c r="BA460" s="45"/>
    </row>
    <row r="461" customFormat="false" ht="15" hidden="false" customHeight="false" outlineLevel="0" collapsed="false">
      <c r="A461" s="44"/>
      <c r="B461" s="44"/>
      <c r="C461" s="45"/>
      <c r="D461" s="45"/>
      <c r="E461" s="44"/>
      <c r="F461" s="44"/>
      <c r="G461" s="44"/>
      <c r="H461" s="44"/>
      <c r="I461" s="44"/>
      <c r="J461" s="44"/>
      <c r="K461" s="44"/>
      <c r="L461" s="44"/>
      <c r="M461" s="44"/>
      <c r="N461" s="44"/>
      <c r="O461" s="46"/>
      <c r="P461" s="44"/>
      <c r="Q461" s="46"/>
      <c r="R461" s="44"/>
      <c r="S461" s="45"/>
      <c r="T461" s="44"/>
      <c r="U461" s="44"/>
      <c r="V461" s="47"/>
      <c r="W461" s="48" t="str">
        <f aca="false">IF(V461="","",IFERROR(V461/O461,""))</f>
        <v/>
      </c>
      <c r="X461" s="44"/>
      <c r="Y461" s="46"/>
      <c r="Z461" s="49"/>
      <c r="AA461" s="44"/>
      <c r="AB461" s="50" t="str">
        <f aca="false">IFERROR(INDEX(TABLA_IVA!$C$3:$C$6,MATCH(AA461,TABLA_IVA!$A$3:$A$6,0)),"")</f>
        <v/>
      </c>
      <c r="AC461" s="47"/>
      <c r="AD461" s="44"/>
      <c r="AE461" s="51"/>
      <c r="AF461" s="52" t="str">
        <f aca="false">IF(OR(AC461="",AE461="",AB461=""),"",IFERROR(AC461/(1-AE461)*(1+AB461),""))</f>
        <v/>
      </c>
      <c r="AG461" s="47"/>
      <c r="AH461" s="52" t="str">
        <f aca="false">IF(AD461="FIJO",IF(AG461="","",AG461),IF(AF461&lt;&gt;"",AF461,IF(AG461="","",AG461)))</f>
        <v/>
      </c>
      <c r="AI461" s="52" t="str">
        <f aca="false">IF(OR(AH461="",AB461=""),"",IFERROR(AH461/(1+AB461),""))</f>
        <v/>
      </c>
      <c r="AJ461" s="50" t="str">
        <f aca="false">IF(OR(AI461="",AC461=""),"",IFERROR((AI461-AC461)/AI461,""))</f>
        <v/>
      </c>
      <c r="AK461" s="53" t="str">
        <f aca="false">IF(OR(AJ461="",AE461=""),"",AJ461-AE461)</f>
        <v/>
      </c>
      <c r="AL461" s="54" t="str">
        <f aca="false">IF(OR(AH461="",AF461=""),"",AH461-AF461)</f>
        <v/>
      </c>
      <c r="AM461" s="55" t="str">
        <f aca="false">IF(OR(A461="",K461&lt;&gt;"SI"),"",IF(AE461="","Sin objetivo",IF(AJ461="","Faltan datos",IF(AJ461&lt;0,"PÉRDIDA",IF(AK461&lt;-UMB_CRITICO,"MUY POR DEBAJO",IF(AK461&lt;-UMB_BAJO,"POR DEBAJO",IF(AK461&lt;-UMB_AJUSTADO,"AJUSTADO",IF(AK461&lt;=UMB_ALTO,"EN OBJETIVO","POR ENCIMA"))))))))</f>
        <v/>
      </c>
      <c r="AN461" s="44"/>
      <c r="AO461" s="44"/>
      <c r="AP461" s="46"/>
      <c r="AQ461" s="46"/>
      <c r="AR461" s="46"/>
      <c r="AS461" s="44"/>
      <c r="AT461" s="44"/>
      <c r="AU461" s="44"/>
      <c r="AV461" s="44"/>
      <c r="AW461" s="44"/>
      <c r="AX461" s="45"/>
      <c r="AY461" s="44"/>
      <c r="AZ461" s="56"/>
      <c r="BA461" s="45"/>
    </row>
    <row r="462" customFormat="false" ht="15" hidden="false" customHeight="false" outlineLevel="0" collapsed="false">
      <c r="A462" s="44"/>
      <c r="B462" s="44"/>
      <c r="C462" s="45"/>
      <c r="D462" s="45"/>
      <c r="E462" s="44"/>
      <c r="F462" s="44"/>
      <c r="G462" s="44"/>
      <c r="H462" s="44"/>
      <c r="I462" s="44"/>
      <c r="J462" s="44"/>
      <c r="K462" s="44"/>
      <c r="L462" s="44"/>
      <c r="M462" s="44"/>
      <c r="N462" s="44"/>
      <c r="O462" s="46"/>
      <c r="P462" s="44"/>
      <c r="Q462" s="46"/>
      <c r="R462" s="44"/>
      <c r="S462" s="45"/>
      <c r="T462" s="44"/>
      <c r="U462" s="44"/>
      <c r="V462" s="47"/>
      <c r="W462" s="48" t="str">
        <f aca="false">IF(V462="","",IFERROR(V462/O462,""))</f>
        <v/>
      </c>
      <c r="X462" s="44"/>
      <c r="Y462" s="46"/>
      <c r="Z462" s="49"/>
      <c r="AA462" s="44"/>
      <c r="AB462" s="50" t="str">
        <f aca="false">IFERROR(INDEX(TABLA_IVA!$C$3:$C$6,MATCH(AA462,TABLA_IVA!$A$3:$A$6,0)),"")</f>
        <v/>
      </c>
      <c r="AC462" s="47"/>
      <c r="AD462" s="44"/>
      <c r="AE462" s="51"/>
      <c r="AF462" s="52" t="str">
        <f aca="false">IF(OR(AC462="",AE462="",AB462=""),"",IFERROR(AC462/(1-AE462)*(1+AB462),""))</f>
        <v/>
      </c>
      <c r="AG462" s="47"/>
      <c r="AH462" s="52" t="str">
        <f aca="false">IF(AD462="FIJO",IF(AG462="","",AG462),IF(AF462&lt;&gt;"",AF462,IF(AG462="","",AG462)))</f>
        <v/>
      </c>
      <c r="AI462" s="52" t="str">
        <f aca="false">IF(OR(AH462="",AB462=""),"",IFERROR(AH462/(1+AB462),""))</f>
        <v/>
      </c>
      <c r="AJ462" s="50" t="str">
        <f aca="false">IF(OR(AI462="",AC462=""),"",IFERROR((AI462-AC462)/AI462,""))</f>
        <v/>
      </c>
      <c r="AK462" s="53" t="str">
        <f aca="false">IF(OR(AJ462="",AE462=""),"",AJ462-AE462)</f>
        <v/>
      </c>
      <c r="AL462" s="54" t="str">
        <f aca="false">IF(OR(AH462="",AF462=""),"",AH462-AF462)</f>
        <v/>
      </c>
      <c r="AM462" s="55" t="str">
        <f aca="false">IF(OR(A462="",K462&lt;&gt;"SI"),"",IF(AE462="","Sin objetivo",IF(AJ462="","Faltan datos",IF(AJ462&lt;0,"PÉRDIDA",IF(AK462&lt;-UMB_CRITICO,"MUY POR DEBAJO",IF(AK462&lt;-UMB_BAJO,"POR DEBAJO",IF(AK462&lt;-UMB_AJUSTADO,"AJUSTADO",IF(AK462&lt;=UMB_ALTO,"EN OBJETIVO","POR ENCIMA"))))))))</f>
        <v/>
      </c>
      <c r="AN462" s="44"/>
      <c r="AO462" s="44"/>
      <c r="AP462" s="46"/>
      <c r="AQ462" s="46"/>
      <c r="AR462" s="46"/>
      <c r="AS462" s="44"/>
      <c r="AT462" s="44"/>
      <c r="AU462" s="44"/>
      <c r="AV462" s="44"/>
      <c r="AW462" s="44"/>
      <c r="AX462" s="45"/>
      <c r="AY462" s="44"/>
      <c r="AZ462" s="56"/>
      <c r="BA462" s="45"/>
    </row>
    <row r="463" customFormat="false" ht="15" hidden="false" customHeight="false" outlineLevel="0" collapsed="false">
      <c r="A463" s="44"/>
      <c r="B463" s="44"/>
      <c r="C463" s="45"/>
      <c r="D463" s="45"/>
      <c r="E463" s="44"/>
      <c r="F463" s="44"/>
      <c r="G463" s="44"/>
      <c r="H463" s="44"/>
      <c r="I463" s="44"/>
      <c r="J463" s="44"/>
      <c r="K463" s="44"/>
      <c r="L463" s="44"/>
      <c r="M463" s="44"/>
      <c r="N463" s="44"/>
      <c r="O463" s="46"/>
      <c r="P463" s="44"/>
      <c r="Q463" s="46"/>
      <c r="R463" s="44"/>
      <c r="S463" s="45"/>
      <c r="T463" s="44"/>
      <c r="U463" s="44"/>
      <c r="V463" s="47"/>
      <c r="W463" s="48" t="str">
        <f aca="false">IF(V463="","",IFERROR(V463/O463,""))</f>
        <v/>
      </c>
      <c r="X463" s="44"/>
      <c r="Y463" s="46"/>
      <c r="Z463" s="49"/>
      <c r="AA463" s="44"/>
      <c r="AB463" s="50" t="str">
        <f aca="false">IFERROR(INDEX(TABLA_IVA!$C$3:$C$6,MATCH(AA463,TABLA_IVA!$A$3:$A$6,0)),"")</f>
        <v/>
      </c>
      <c r="AC463" s="47"/>
      <c r="AD463" s="44"/>
      <c r="AE463" s="51"/>
      <c r="AF463" s="52" t="str">
        <f aca="false">IF(OR(AC463="",AE463="",AB463=""),"",IFERROR(AC463/(1-AE463)*(1+AB463),""))</f>
        <v/>
      </c>
      <c r="AG463" s="47"/>
      <c r="AH463" s="52" t="str">
        <f aca="false">IF(AD463="FIJO",IF(AG463="","",AG463),IF(AF463&lt;&gt;"",AF463,IF(AG463="","",AG463)))</f>
        <v/>
      </c>
      <c r="AI463" s="52" t="str">
        <f aca="false">IF(OR(AH463="",AB463=""),"",IFERROR(AH463/(1+AB463),""))</f>
        <v/>
      </c>
      <c r="AJ463" s="50" t="str">
        <f aca="false">IF(OR(AI463="",AC463=""),"",IFERROR((AI463-AC463)/AI463,""))</f>
        <v/>
      </c>
      <c r="AK463" s="53" t="str">
        <f aca="false">IF(OR(AJ463="",AE463=""),"",AJ463-AE463)</f>
        <v/>
      </c>
      <c r="AL463" s="54" t="str">
        <f aca="false">IF(OR(AH463="",AF463=""),"",AH463-AF463)</f>
        <v/>
      </c>
      <c r="AM463" s="55" t="str">
        <f aca="false">IF(OR(A463="",K463&lt;&gt;"SI"),"",IF(AE463="","Sin objetivo",IF(AJ463="","Faltan datos",IF(AJ463&lt;0,"PÉRDIDA",IF(AK463&lt;-UMB_CRITICO,"MUY POR DEBAJO",IF(AK463&lt;-UMB_BAJO,"POR DEBAJO",IF(AK463&lt;-UMB_AJUSTADO,"AJUSTADO",IF(AK463&lt;=UMB_ALTO,"EN OBJETIVO","POR ENCIMA"))))))))</f>
        <v/>
      </c>
      <c r="AN463" s="44"/>
      <c r="AO463" s="44"/>
      <c r="AP463" s="46"/>
      <c r="AQ463" s="46"/>
      <c r="AR463" s="46"/>
      <c r="AS463" s="44"/>
      <c r="AT463" s="44"/>
      <c r="AU463" s="44"/>
      <c r="AV463" s="44"/>
      <c r="AW463" s="44"/>
      <c r="AX463" s="45"/>
      <c r="AY463" s="44"/>
      <c r="AZ463" s="56"/>
      <c r="BA463" s="45"/>
    </row>
    <row r="464" customFormat="false" ht="15" hidden="false" customHeight="false" outlineLevel="0" collapsed="false">
      <c r="A464" s="44"/>
      <c r="B464" s="44"/>
      <c r="C464" s="45"/>
      <c r="D464" s="45"/>
      <c r="E464" s="44"/>
      <c r="F464" s="44"/>
      <c r="G464" s="44"/>
      <c r="H464" s="44"/>
      <c r="I464" s="44"/>
      <c r="J464" s="44"/>
      <c r="K464" s="44"/>
      <c r="L464" s="44"/>
      <c r="M464" s="44"/>
      <c r="N464" s="44"/>
      <c r="O464" s="46"/>
      <c r="P464" s="44"/>
      <c r="Q464" s="46"/>
      <c r="R464" s="44"/>
      <c r="S464" s="45"/>
      <c r="T464" s="44"/>
      <c r="U464" s="44"/>
      <c r="V464" s="47"/>
      <c r="W464" s="48" t="str">
        <f aca="false">IF(V464="","",IFERROR(V464/O464,""))</f>
        <v/>
      </c>
      <c r="X464" s="44"/>
      <c r="Y464" s="46"/>
      <c r="Z464" s="49"/>
      <c r="AA464" s="44"/>
      <c r="AB464" s="50" t="str">
        <f aca="false">IFERROR(INDEX(TABLA_IVA!$C$3:$C$6,MATCH(AA464,TABLA_IVA!$A$3:$A$6,0)),"")</f>
        <v/>
      </c>
      <c r="AC464" s="47"/>
      <c r="AD464" s="44"/>
      <c r="AE464" s="51"/>
      <c r="AF464" s="52" t="str">
        <f aca="false">IF(OR(AC464="",AE464="",AB464=""),"",IFERROR(AC464/(1-AE464)*(1+AB464),""))</f>
        <v/>
      </c>
      <c r="AG464" s="47"/>
      <c r="AH464" s="52" t="str">
        <f aca="false">IF(AD464="FIJO",IF(AG464="","",AG464),IF(AF464&lt;&gt;"",AF464,IF(AG464="","",AG464)))</f>
        <v/>
      </c>
      <c r="AI464" s="52" t="str">
        <f aca="false">IF(OR(AH464="",AB464=""),"",IFERROR(AH464/(1+AB464),""))</f>
        <v/>
      </c>
      <c r="AJ464" s="50" t="str">
        <f aca="false">IF(OR(AI464="",AC464=""),"",IFERROR((AI464-AC464)/AI464,""))</f>
        <v/>
      </c>
      <c r="AK464" s="53" t="str">
        <f aca="false">IF(OR(AJ464="",AE464=""),"",AJ464-AE464)</f>
        <v/>
      </c>
      <c r="AL464" s="54" t="str">
        <f aca="false">IF(OR(AH464="",AF464=""),"",AH464-AF464)</f>
        <v/>
      </c>
      <c r="AM464" s="55" t="str">
        <f aca="false">IF(OR(A464="",K464&lt;&gt;"SI"),"",IF(AE464="","Sin objetivo",IF(AJ464="","Faltan datos",IF(AJ464&lt;0,"PÉRDIDA",IF(AK464&lt;-UMB_CRITICO,"MUY POR DEBAJO",IF(AK464&lt;-UMB_BAJO,"POR DEBAJO",IF(AK464&lt;-UMB_AJUSTADO,"AJUSTADO",IF(AK464&lt;=UMB_ALTO,"EN OBJETIVO","POR ENCIMA"))))))))</f>
        <v/>
      </c>
      <c r="AN464" s="44"/>
      <c r="AO464" s="44"/>
      <c r="AP464" s="46"/>
      <c r="AQ464" s="46"/>
      <c r="AR464" s="46"/>
      <c r="AS464" s="44"/>
      <c r="AT464" s="44"/>
      <c r="AU464" s="44"/>
      <c r="AV464" s="44"/>
      <c r="AW464" s="44"/>
      <c r="AX464" s="45"/>
      <c r="AY464" s="44"/>
      <c r="AZ464" s="56"/>
      <c r="BA464" s="45"/>
    </row>
    <row r="465" customFormat="false" ht="15" hidden="false" customHeight="false" outlineLevel="0" collapsed="false">
      <c r="A465" s="44"/>
      <c r="B465" s="44"/>
      <c r="C465" s="45"/>
      <c r="D465" s="45"/>
      <c r="E465" s="44"/>
      <c r="F465" s="44"/>
      <c r="G465" s="44"/>
      <c r="H465" s="44"/>
      <c r="I465" s="44"/>
      <c r="J465" s="44"/>
      <c r="K465" s="44"/>
      <c r="L465" s="44"/>
      <c r="M465" s="44"/>
      <c r="N465" s="44"/>
      <c r="O465" s="46"/>
      <c r="P465" s="44"/>
      <c r="Q465" s="46"/>
      <c r="R465" s="44"/>
      <c r="S465" s="45"/>
      <c r="T465" s="44"/>
      <c r="U465" s="44"/>
      <c r="V465" s="47"/>
      <c r="W465" s="48" t="str">
        <f aca="false">IF(V465="","",IFERROR(V465/O465,""))</f>
        <v/>
      </c>
      <c r="X465" s="44"/>
      <c r="Y465" s="46"/>
      <c r="Z465" s="49"/>
      <c r="AA465" s="44"/>
      <c r="AB465" s="50" t="str">
        <f aca="false">IFERROR(INDEX(TABLA_IVA!$C$3:$C$6,MATCH(AA465,TABLA_IVA!$A$3:$A$6,0)),"")</f>
        <v/>
      </c>
      <c r="AC465" s="47"/>
      <c r="AD465" s="44"/>
      <c r="AE465" s="51"/>
      <c r="AF465" s="52" t="str">
        <f aca="false">IF(OR(AC465="",AE465="",AB465=""),"",IFERROR(AC465/(1-AE465)*(1+AB465),""))</f>
        <v/>
      </c>
      <c r="AG465" s="47"/>
      <c r="AH465" s="52" t="str">
        <f aca="false">IF(AD465="FIJO",IF(AG465="","",AG465),IF(AF465&lt;&gt;"",AF465,IF(AG465="","",AG465)))</f>
        <v/>
      </c>
      <c r="AI465" s="52" t="str">
        <f aca="false">IF(OR(AH465="",AB465=""),"",IFERROR(AH465/(1+AB465),""))</f>
        <v/>
      </c>
      <c r="AJ465" s="50" t="str">
        <f aca="false">IF(OR(AI465="",AC465=""),"",IFERROR((AI465-AC465)/AI465,""))</f>
        <v/>
      </c>
      <c r="AK465" s="53" t="str">
        <f aca="false">IF(OR(AJ465="",AE465=""),"",AJ465-AE465)</f>
        <v/>
      </c>
      <c r="AL465" s="54" t="str">
        <f aca="false">IF(OR(AH465="",AF465=""),"",AH465-AF465)</f>
        <v/>
      </c>
      <c r="AM465" s="55" t="str">
        <f aca="false">IF(OR(A465="",K465&lt;&gt;"SI"),"",IF(AE465="","Sin objetivo",IF(AJ465="","Faltan datos",IF(AJ465&lt;0,"PÉRDIDA",IF(AK465&lt;-UMB_CRITICO,"MUY POR DEBAJO",IF(AK465&lt;-UMB_BAJO,"POR DEBAJO",IF(AK465&lt;-UMB_AJUSTADO,"AJUSTADO",IF(AK465&lt;=UMB_ALTO,"EN OBJETIVO","POR ENCIMA"))))))))</f>
        <v/>
      </c>
      <c r="AN465" s="44"/>
      <c r="AO465" s="44"/>
      <c r="AP465" s="46"/>
      <c r="AQ465" s="46"/>
      <c r="AR465" s="46"/>
      <c r="AS465" s="44"/>
      <c r="AT465" s="44"/>
      <c r="AU465" s="44"/>
      <c r="AV465" s="44"/>
      <c r="AW465" s="44"/>
      <c r="AX465" s="45"/>
      <c r="AY465" s="44"/>
      <c r="AZ465" s="56"/>
      <c r="BA465" s="45"/>
    </row>
    <row r="466" customFormat="false" ht="15" hidden="false" customHeight="false" outlineLevel="0" collapsed="false">
      <c r="A466" s="44"/>
      <c r="B466" s="44"/>
      <c r="C466" s="45"/>
      <c r="D466" s="45"/>
      <c r="E466" s="44"/>
      <c r="F466" s="44"/>
      <c r="G466" s="44"/>
      <c r="H466" s="44"/>
      <c r="I466" s="44"/>
      <c r="J466" s="44"/>
      <c r="K466" s="44"/>
      <c r="L466" s="44"/>
      <c r="M466" s="44"/>
      <c r="N466" s="44"/>
      <c r="O466" s="46"/>
      <c r="P466" s="44"/>
      <c r="Q466" s="46"/>
      <c r="R466" s="44"/>
      <c r="S466" s="45"/>
      <c r="T466" s="44"/>
      <c r="U466" s="44"/>
      <c r="V466" s="47"/>
      <c r="W466" s="48" t="str">
        <f aca="false">IF(V466="","",IFERROR(V466/O466,""))</f>
        <v/>
      </c>
      <c r="X466" s="44"/>
      <c r="Y466" s="46"/>
      <c r="Z466" s="49"/>
      <c r="AA466" s="44"/>
      <c r="AB466" s="50" t="str">
        <f aca="false">IFERROR(INDEX(TABLA_IVA!$C$3:$C$6,MATCH(AA466,TABLA_IVA!$A$3:$A$6,0)),"")</f>
        <v/>
      </c>
      <c r="AC466" s="47"/>
      <c r="AD466" s="44"/>
      <c r="AE466" s="51"/>
      <c r="AF466" s="52" t="str">
        <f aca="false">IF(OR(AC466="",AE466="",AB466=""),"",IFERROR(AC466/(1-AE466)*(1+AB466),""))</f>
        <v/>
      </c>
      <c r="AG466" s="47"/>
      <c r="AH466" s="52" t="str">
        <f aca="false">IF(AD466="FIJO",IF(AG466="","",AG466),IF(AF466&lt;&gt;"",AF466,IF(AG466="","",AG466)))</f>
        <v/>
      </c>
      <c r="AI466" s="52" t="str">
        <f aca="false">IF(OR(AH466="",AB466=""),"",IFERROR(AH466/(1+AB466),""))</f>
        <v/>
      </c>
      <c r="AJ466" s="50" t="str">
        <f aca="false">IF(OR(AI466="",AC466=""),"",IFERROR((AI466-AC466)/AI466,""))</f>
        <v/>
      </c>
      <c r="AK466" s="53" t="str">
        <f aca="false">IF(OR(AJ466="",AE466=""),"",AJ466-AE466)</f>
        <v/>
      </c>
      <c r="AL466" s="54" t="str">
        <f aca="false">IF(OR(AH466="",AF466=""),"",AH466-AF466)</f>
        <v/>
      </c>
      <c r="AM466" s="55" t="str">
        <f aca="false">IF(OR(A466="",K466&lt;&gt;"SI"),"",IF(AE466="","Sin objetivo",IF(AJ466="","Faltan datos",IF(AJ466&lt;0,"PÉRDIDA",IF(AK466&lt;-UMB_CRITICO,"MUY POR DEBAJO",IF(AK466&lt;-UMB_BAJO,"POR DEBAJO",IF(AK466&lt;-UMB_AJUSTADO,"AJUSTADO",IF(AK466&lt;=UMB_ALTO,"EN OBJETIVO","POR ENCIMA"))))))))</f>
        <v/>
      </c>
      <c r="AN466" s="44"/>
      <c r="AO466" s="44"/>
      <c r="AP466" s="46"/>
      <c r="AQ466" s="46"/>
      <c r="AR466" s="46"/>
      <c r="AS466" s="44"/>
      <c r="AT466" s="44"/>
      <c r="AU466" s="44"/>
      <c r="AV466" s="44"/>
      <c r="AW466" s="44"/>
      <c r="AX466" s="45"/>
      <c r="AY466" s="44"/>
      <c r="AZ466" s="56"/>
      <c r="BA466" s="45"/>
    </row>
    <row r="467" customFormat="false" ht="15" hidden="false" customHeight="false" outlineLevel="0" collapsed="false">
      <c r="A467" s="44"/>
      <c r="B467" s="44"/>
      <c r="C467" s="45"/>
      <c r="D467" s="45"/>
      <c r="E467" s="44"/>
      <c r="F467" s="44"/>
      <c r="G467" s="44"/>
      <c r="H467" s="44"/>
      <c r="I467" s="44"/>
      <c r="J467" s="44"/>
      <c r="K467" s="44"/>
      <c r="L467" s="44"/>
      <c r="M467" s="44"/>
      <c r="N467" s="44"/>
      <c r="O467" s="46"/>
      <c r="P467" s="44"/>
      <c r="Q467" s="46"/>
      <c r="R467" s="44"/>
      <c r="S467" s="45"/>
      <c r="T467" s="44"/>
      <c r="U467" s="44"/>
      <c r="V467" s="47"/>
      <c r="W467" s="48" t="str">
        <f aca="false">IF(V467="","",IFERROR(V467/O467,""))</f>
        <v/>
      </c>
      <c r="X467" s="44"/>
      <c r="Y467" s="46"/>
      <c r="Z467" s="49"/>
      <c r="AA467" s="44"/>
      <c r="AB467" s="50" t="str">
        <f aca="false">IFERROR(INDEX(TABLA_IVA!$C$3:$C$6,MATCH(AA467,TABLA_IVA!$A$3:$A$6,0)),"")</f>
        <v/>
      </c>
      <c r="AC467" s="47"/>
      <c r="AD467" s="44"/>
      <c r="AE467" s="51"/>
      <c r="AF467" s="52" t="str">
        <f aca="false">IF(OR(AC467="",AE467="",AB467=""),"",IFERROR(AC467/(1-AE467)*(1+AB467),""))</f>
        <v/>
      </c>
      <c r="AG467" s="47"/>
      <c r="AH467" s="52" t="str">
        <f aca="false">IF(AD467="FIJO",IF(AG467="","",AG467),IF(AF467&lt;&gt;"",AF467,IF(AG467="","",AG467)))</f>
        <v/>
      </c>
      <c r="AI467" s="52" t="str">
        <f aca="false">IF(OR(AH467="",AB467=""),"",IFERROR(AH467/(1+AB467),""))</f>
        <v/>
      </c>
      <c r="AJ467" s="50" t="str">
        <f aca="false">IF(OR(AI467="",AC467=""),"",IFERROR((AI467-AC467)/AI467,""))</f>
        <v/>
      </c>
      <c r="AK467" s="53" t="str">
        <f aca="false">IF(OR(AJ467="",AE467=""),"",AJ467-AE467)</f>
        <v/>
      </c>
      <c r="AL467" s="54" t="str">
        <f aca="false">IF(OR(AH467="",AF467=""),"",AH467-AF467)</f>
        <v/>
      </c>
      <c r="AM467" s="55" t="str">
        <f aca="false">IF(OR(A467="",K467&lt;&gt;"SI"),"",IF(AE467="","Sin objetivo",IF(AJ467="","Faltan datos",IF(AJ467&lt;0,"PÉRDIDA",IF(AK467&lt;-UMB_CRITICO,"MUY POR DEBAJO",IF(AK467&lt;-UMB_BAJO,"POR DEBAJO",IF(AK467&lt;-UMB_AJUSTADO,"AJUSTADO",IF(AK467&lt;=UMB_ALTO,"EN OBJETIVO","POR ENCIMA"))))))))</f>
        <v/>
      </c>
      <c r="AN467" s="44"/>
      <c r="AO467" s="44"/>
      <c r="AP467" s="46"/>
      <c r="AQ467" s="46"/>
      <c r="AR467" s="46"/>
      <c r="AS467" s="44"/>
      <c r="AT467" s="44"/>
      <c r="AU467" s="44"/>
      <c r="AV467" s="44"/>
      <c r="AW467" s="44"/>
      <c r="AX467" s="45"/>
      <c r="AY467" s="44"/>
      <c r="AZ467" s="56"/>
      <c r="BA467" s="45"/>
    </row>
    <row r="468" customFormat="false" ht="15" hidden="false" customHeight="false" outlineLevel="0" collapsed="false">
      <c r="A468" s="44"/>
      <c r="B468" s="44"/>
      <c r="C468" s="45"/>
      <c r="D468" s="45"/>
      <c r="E468" s="44"/>
      <c r="F468" s="44"/>
      <c r="G468" s="44"/>
      <c r="H468" s="44"/>
      <c r="I468" s="44"/>
      <c r="J468" s="44"/>
      <c r="K468" s="44"/>
      <c r="L468" s="44"/>
      <c r="M468" s="44"/>
      <c r="N468" s="44"/>
      <c r="O468" s="46"/>
      <c r="P468" s="44"/>
      <c r="Q468" s="46"/>
      <c r="R468" s="44"/>
      <c r="S468" s="45"/>
      <c r="T468" s="44"/>
      <c r="U468" s="44"/>
      <c r="V468" s="47"/>
      <c r="W468" s="48" t="str">
        <f aca="false">IF(V468="","",IFERROR(V468/O468,""))</f>
        <v/>
      </c>
      <c r="X468" s="44"/>
      <c r="Y468" s="46"/>
      <c r="Z468" s="49"/>
      <c r="AA468" s="44"/>
      <c r="AB468" s="50" t="str">
        <f aca="false">IFERROR(INDEX(TABLA_IVA!$C$3:$C$6,MATCH(AA468,TABLA_IVA!$A$3:$A$6,0)),"")</f>
        <v/>
      </c>
      <c r="AC468" s="47"/>
      <c r="AD468" s="44"/>
      <c r="AE468" s="51"/>
      <c r="AF468" s="52" t="str">
        <f aca="false">IF(OR(AC468="",AE468="",AB468=""),"",IFERROR(AC468/(1-AE468)*(1+AB468),""))</f>
        <v/>
      </c>
      <c r="AG468" s="47"/>
      <c r="AH468" s="52" t="str">
        <f aca="false">IF(AD468="FIJO",IF(AG468="","",AG468),IF(AF468&lt;&gt;"",AF468,IF(AG468="","",AG468)))</f>
        <v/>
      </c>
      <c r="AI468" s="52" t="str">
        <f aca="false">IF(OR(AH468="",AB468=""),"",IFERROR(AH468/(1+AB468),""))</f>
        <v/>
      </c>
      <c r="AJ468" s="50" t="str">
        <f aca="false">IF(OR(AI468="",AC468=""),"",IFERROR((AI468-AC468)/AI468,""))</f>
        <v/>
      </c>
      <c r="AK468" s="53" t="str">
        <f aca="false">IF(OR(AJ468="",AE468=""),"",AJ468-AE468)</f>
        <v/>
      </c>
      <c r="AL468" s="54" t="str">
        <f aca="false">IF(OR(AH468="",AF468=""),"",AH468-AF468)</f>
        <v/>
      </c>
      <c r="AM468" s="55" t="str">
        <f aca="false">IF(OR(A468="",K468&lt;&gt;"SI"),"",IF(AE468="","Sin objetivo",IF(AJ468="","Faltan datos",IF(AJ468&lt;0,"PÉRDIDA",IF(AK468&lt;-UMB_CRITICO,"MUY POR DEBAJO",IF(AK468&lt;-UMB_BAJO,"POR DEBAJO",IF(AK468&lt;-UMB_AJUSTADO,"AJUSTADO",IF(AK468&lt;=UMB_ALTO,"EN OBJETIVO","POR ENCIMA"))))))))</f>
        <v/>
      </c>
      <c r="AN468" s="44"/>
      <c r="AO468" s="44"/>
      <c r="AP468" s="46"/>
      <c r="AQ468" s="46"/>
      <c r="AR468" s="46"/>
      <c r="AS468" s="44"/>
      <c r="AT468" s="44"/>
      <c r="AU468" s="44"/>
      <c r="AV468" s="44"/>
      <c r="AW468" s="44"/>
      <c r="AX468" s="45"/>
      <c r="AY468" s="44"/>
      <c r="AZ468" s="56"/>
      <c r="BA468" s="45"/>
    </row>
    <row r="469" customFormat="false" ht="15" hidden="false" customHeight="false" outlineLevel="0" collapsed="false">
      <c r="A469" s="44"/>
      <c r="B469" s="44"/>
      <c r="C469" s="45"/>
      <c r="D469" s="45"/>
      <c r="E469" s="44"/>
      <c r="F469" s="44"/>
      <c r="G469" s="44"/>
      <c r="H469" s="44"/>
      <c r="I469" s="44"/>
      <c r="J469" s="44"/>
      <c r="K469" s="44"/>
      <c r="L469" s="44"/>
      <c r="M469" s="44"/>
      <c r="N469" s="44"/>
      <c r="O469" s="46"/>
      <c r="P469" s="44"/>
      <c r="Q469" s="46"/>
      <c r="R469" s="44"/>
      <c r="S469" s="45"/>
      <c r="T469" s="44"/>
      <c r="U469" s="44"/>
      <c r="V469" s="47"/>
      <c r="W469" s="48" t="str">
        <f aca="false">IF(V469="","",IFERROR(V469/O469,""))</f>
        <v/>
      </c>
      <c r="X469" s="44"/>
      <c r="Y469" s="46"/>
      <c r="Z469" s="49"/>
      <c r="AA469" s="44"/>
      <c r="AB469" s="50" t="str">
        <f aca="false">IFERROR(INDEX(TABLA_IVA!$C$3:$C$6,MATCH(AA469,TABLA_IVA!$A$3:$A$6,0)),"")</f>
        <v/>
      </c>
      <c r="AC469" s="47"/>
      <c r="AD469" s="44"/>
      <c r="AE469" s="51"/>
      <c r="AF469" s="52" t="str">
        <f aca="false">IF(OR(AC469="",AE469="",AB469=""),"",IFERROR(AC469/(1-AE469)*(1+AB469),""))</f>
        <v/>
      </c>
      <c r="AG469" s="47"/>
      <c r="AH469" s="52" t="str">
        <f aca="false">IF(AD469="FIJO",IF(AG469="","",AG469),IF(AF469&lt;&gt;"",AF469,IF(AG469="","",AG469)))</f>
        <v/>
      </c>
      <c r="AI469" s="52" t="str">
        <f aca="false">IF(OR(AH469="",AB469=""),"",IFERROR(AH469/(1+AB469),""))</f>
        <v/>
      </c>
      <c r="AJ469" s="50" t="str">
        <f aca="false">IF(OR(AI469="",AC469=""),"",IFERROR((AI469-AC469)/AI469,""))</f>
        <v/>
      </c>
      <c r="AK469" s="53" t="str">
        <f aca="false">IF(OR(AJ469="",AE469=""),"",AJ469-AE469)</f>
        <v/>
      </c>
      <c r="AL469" s="54" t="str">
        <f aca="false">IF(OR(AH469="",AF469=""),"",AH469-AF469)</f>
        <v/>
      </c>
      <c r="AM469" s="55" t="str">
        <f aca="false">IF(OR(A469="",K469&lt;&gt;"SI"),"",IF(AE469="","Sin objetivo",IF(AJ469="","Faltan datos",IF(AJ469&lt;0,"PÉRDIDA",IF(AK469&lt;-UMB_CRITICO,"MUY POR DEBAJO",IF(AK469&lt;-UMB_BAJO,"POR DEBAJO",IF(AK469&lt;-UMB_AJUSTADO,"AJUSTADO",IF(AK469&lt;=UMB_ALTO,"EN OBJETIVO","POR ENCIMA"))))))))</f>
        <v/>
      </c>
      <c r="AN469" s="44"/>
      <c r="AO469" s="44"/>
      <c r="AP469" s="46"/>
      <c r="AQ469" s="46"/>
      <c r="AR469" s="46"/>
      <c r="AS469" s="44"/>
      <c r="AT469" s="44"/>
      <c r="AU469" s="44"/>
      <c r="AV469" s="44"/>
      <c r="AW469" s="44"/>
      <c r="AX469" s="45"/>
      <c r="AY469" s="44"/>
      <c r="AZ469" s="56"/>
      <c r="BA469" s="45"/>
    </row>
    <row r="470" customFormat="false" ht="15" hidden="false" customHeight="false" outlineLevel="0" collapsed="false">
      <c r="A470" s="44"/>
      <c r="B470" s="44"/>
      <c r="C470" s="45"/>
      <c r="D470" s="45"/>
      <c r="E470" s="44"/>
      <c r="F470" s="44"/>
      <c r="G470" s="44"/>
      <c r="H470" s="44"/>
      <c r="I470" s="44"/>
      <c r="J470" s="44"/>
      <c r="K470" s="44"/>
      <c r="L470" s="44"/>
      <c r="M470" s="44"/>
      <c r="N470" s="44"/>
      <c r="O470" s="46"/>
      <c r="P470" s="44"/>
      <c r="Q470" s="46"/>
      <c r="R470" s="44"/>
      <c r="S470" s="45"/>
      <c r="T470" s="44"/>
      <c r="U470" s="44"/>
      <c r="V470" s="47"/>
      <c r="W470" s="48" t="str">
        <f aca="false">IF(V470="","",IFERROR(V470/O470,""))</f>
        <v/>
      </c>
      <c r="X470" s="44"/>
      <c r="Y470" s="46"/>
      <c r="Z470" s="49"/>
      <c r="AA470" s="44"/>
      <c r="AB470" s="50" t="str">
        <f aca="false">IFERROR(INDEX(TABLA_IVA!$C$3:$C$6,MATCH(AA470,TABLA_IVA!$A$3:$A$6,0)),"")</f>
        <v/>
      </c>
      <c r="AC470" s="47"/>
      <c r="AD470" s="44"/>
      <c r="AE470" s="51"/>
      <c r="AF470" s="52" t="str">
        <f aca="false">IF(OR(AC470="",AE470="",AB470=""),"",IFERROR(AC470/(1-AE470)*(1+AB470),""))</f>
        <v/>
      </c>
      <c r="AG470" s="47"/>
      <c r="AH470" s="52" t="str">
        <f aca="false">IF(AD470="FIJO",IF(AG470="","",AG470),IF(AF470&lt;&gt;"",AF470,IF(AG470="","",AG470)))</f>
        <v/>
      </c>
      <c r="AI470" s="52" t="str">
        <f aca="false">IF(OR(AH470="",AB470=""),"",IFERROR(AH470/(1+AB470),""))</f>
        <v/>
      </c>
      <c r="AJ470" s="50" t="str">
        <f aca="false">IF(OR(AI470="",AC470=""),"",IFERROR((AI470-AC470)/AI470,""))</f>
        <v/>
      </c>
      <c r="AK470" s="53" t="str">
        <f aca="false">IF(OR(AJ470="",AE470=""),"",AJ470-AE470)</f>
        <v/>
      </c>
      <c r="AL470" s="54" t="str">
        <f aca="false">IF(OR(AH470="",AF470=""),"",AH470-AF470)</f>
        <v/>
      </c>
      <c r="AM470" s="55" t="str">
        <f aca="false">IF(OR(A470="",K470&lt;&gt;"SI"),"",IF(AE470="","Sin objetivo",IF(AJ470="","Faltan datos",IF(AJ470&lt;0,"PÉRDIDA",IF(AK470&lt;-UMB_CRITICO,"MUY POR DEBAJO",IF(AK470&lt;-UMB_BAJO,"POR DEBAJO",IF(AK470&lt;-UMB_AJUSTADO,"AJUSTADO",IF(AK470&lt;=UMB_ALTO,"EN OBJETIVO","POR ENCIMA"))))))))</f>
        <v/>
      </c>
      <c r="AN470" s="44"/>
      <c r="AO470" s="44"/>
      <c r="AP470" s="46"/>
      <c r="AQ470" s="46"/>
      <c r="AR470" s="46"/>
      <c r="AS470" s="44"/>
      <c r="AT470" s="44"/>
      <c r="AU470" s="44"/>
      <c r="AV470" s="44"/>
      <c r="AW470" s="44"/>
      <c r="AX470" s="45"/>
      <c r="AY470" s="44"/>
      <c r="AZ470" s="56"/>
      <c r="BA470" s="45"/>
    </row>
    <row r="471" customFormat="false" ht="15" hidden="false" customHeight="false" outlineLevel="0" collapsed="false">
      <c r="A471" s="44"/>
      <c r="B471" s="44"/>
      <c r="C471" s="45"/>
      <c r="D471" s="45"/>
      <c r="E471" s="44"/>
      <c r="F471" s="44"/>
      <c r="G471" s="44"/>
      <c r="H471" s="44"/>
      <c r="I471" s="44"/>
      <c r="J471" s="44"/>
      <c r="K471" s="44"/>
      <c r="L471" s="44"/>
      <c r="M471" s="44"/>
      <c r="N471" s="44"/>
      <c r="O471" s="46"/>
      <c r="P471" s="44"/>
      <c r="Q471" s="46"/>
      <c r="R471" s="44"/>
      <c r="S471" s="45"/>
      <c r="T471" s="44"/>
      <c r="U471" s="44"/>
      <c r="V471" s="47"/>
      <c r="W471" s="48" t="str">
        <f aca="false">IF(V471="","",IFERROR(V471/O471,""))</f>
        <v/>
      </c>
      <c r="X471" s="44"/>
      <c r="Y471" s="46"/>
      <c r="Z471" s="49"/>
      <c r="AA471" s="44"/>
      <c r="AB471" s="50" t="str">
        <f aca="false">IFERROR(INDEX(TABLA_IVA!$C$3:$C$6,MATCH(AA471,TABLA_IVA!$A$3:$A$6,0)),"")</f>
        <v/>
      </c>
      <c r="AC471" s="47"/>
      <c r="AD471" s="44"/>
      <c r="AE471" s="51"/>
      <c r="AF471" s="52" t="str">
        <f aca="false">IF(OR(AC471="",AE471="",AB471=""),"",IFERROR(AC471/(1-AE471)*(1+AB471),""))</f>
        <v/>
      </c>
      <c r="AG471" s="47"/>
      <c r="AH471" s="52" t="str">
        <f aca="false">IF(AD471="FIJO",IF(AG471="","",AG471),IF(AF471&lt;&gt;"",AF471,IF(AG471="","",AG471)))</f>
        <v/>
      </c>
      <c r="AI471" s="52" t="str">
        <f aca="false">IF(OR(AH471="",AB471=""),"",IFERROR(AH471/(1+AB471),""))</f>
        <v/>
      </c>
      <c r="AJ471" s="50" t="str">
        <f aca="false">IF(OR(AI471="",AC471=""),"",IFERROR((AI471-AC471)/AI471,""))</f>
        <v/>
      </c>
      <c r="AK471" s="53" t="str">
        <f aca="false">IF(OR(AJ471="",AE471=""),"",AJ471-AE471)</f>
        <v/>
      </c>
      <c r="AL471" s="54" t="str">
        <f aca="false">IF(OR(AH471="",AF471=""),"",AH471-AF471)</f>
        <v/>
      </c>
      <c r="AM471" s="55" t="str">
        <f aca="false">IF(OR(A471="",K471&lt;&gt;"SI"),"",IF(AE471="","Sin objetivo",IF(AJ471="","Faltan datos",IF(AJ471&lt;0,"PÉRDIDA",IF(AK471&lt;-UMB_CRITICO,"MUY POR DEBAJO",IF(AK471&lt;-UMB_BAJO,"POR DEBAJO",IF(AK471&lt;-UMB_AJUSTADO,"AJUSTADO",IF(AK471&lt;=UMB_ALTO,"EN OBJETIVO","POR ENCIMA"))))))))</f>
        <v/>
      </c>
      <c r="AN471" s="44"/>
      <c r="AO471" s="44"/>
      <c r="AP471" s="46"/>
      <c r="AQ471" s="46"/>
      <c r="AR471" s="46"/>
      <c r="AS471" s="44"/>
      <c r="AT471" s="44"/>
      <c r="AU471" s="44"/>
      <c r="AV471" s="44"/>
      <c r="AW471" s="44"/>
      <c r="AX471" s="45"/>
      <c r="AY471" s="44"/>
      <c r="AZ471" s="56"/>
      <c r="BA471" s="45"/>
    </row>
    <row r="472" customFormat="false" ht="15" hidden="false" customHeight="false" outlineLevel="0" collapsed="false">
      <c r="A472" s="44"/>
      <c r="B472" s="44"/>
      <c r="C472" s="45"/>
      <c r="D472" s="45"/>
      <c r="E472" s="44"/>
      <c r="F472" s="44"/>
      <c r="G472" s="44"/>
      <c r="H472" s="44"/>
      <c r="I472" s="44"/>
      <c r="J472" s="44"/>
      <c r="K472" s="44"/>
      <c r="L472" s="44"/>
      <c r="M472" s="44"/>
      <c r="N472" s="44"/>
      <c r="O472" s="46"/>
      <c r="P472" s="44"/>
      <c r="Q472" s="46"/>
      <c r="R472" s="44"/>
      <c r="S472" s="45"/>
      <c r="T472" s="44"/>
      <c r="U472" s="44"/>
      <c r="V472" s="47"/>
      <c r="W472" s="48" t="str">
        <f aca="false">IF(V472="","",IFERROR(V472/O472,""))</f>
        <v/>
      </c>
      <c r="X472" s="44"/>
      <c r="Y472" s="46"/>
      <c r="Z472" s="49"/>
      <c r="AA472" s="44"/>
      <c r="AB472" s="50" t="str">
        <f aca="false">IFERROR(INDEX(TABLA_IVA!$C$3:$C$6,MATCH(AA472,TABLA_IVA!$A$3:$A$6,0)),"")</f>
        <v/>
      </c>
      <c r="AC472" s="47"/>
      <c r="AD472" s="44"/>
      <c r="AE472" s="51"/>
      <c r="AF472" s="52" t="str">
        <f aca="false">IF(OR(AC472="",AE472="",AB472=""),"",IFERROR(AC472/(1-AE472)*(1+AB472),""))</f>
        <v/>
      </c>
      <c r="AG472" s="47"/>
      <c r="AH472" s="52" t="str">
        <f aca="false">IF(AD472="FIJO",IF(AG472="","",AG472),IF(AF472&lt;&gt;"",AF472,IF(AG472="","",AG472)))</f>
        <v/>
      </c>
      <c r="AI472" s="52" t="str">
        <f aca="false">IF(OR(AH472="",AB472=""),"",IFERROR(AH472/(1+AB472),""))</f>
        <v/>
      </c>
      <c r="AJ472" s="50" t="str">
        <f aca="false">IF(OR(AI472="",AC472=""),"",IFERROR((AI472-AC472)/AI472,""))</f>
        <v/>
      </c>
      <c r="AK472" s="53" t="str">
        <f aca="false">IF(OR(AJ472="",AE472=""),"",AJ472-AE472)</f>
        <v/>
      </c>
      <c r="AL472" s="54" t="str">
        <f aca="false">IF(OR(AH472="",AF472=""),"",AH472-AF472)</f>
        <v/>
      </c>
      <c r="AM472" s="55" t="str">
        <f aca="false">IF(OR(A472="",K472&lt;&gt;"SI"),"",IF(AE472="","Sin objetivo",IF(AJ472="","Faltan datos",IF(AJ472&lt;0,"PÉRDIDA",IF(AK472&lt;-UMB_CRITICO,"MUY POR DEBAJO",IF(AK472&lt;-UMB_BAJO,"POR DEBAJO",IF(AK472&lt;-UMB_AJUSTADO,"AJUSTADO",IF(AK472&lt;=UMB_ALTO,"EN OBJETIVO","POR ENCIMA"))))))))</f>
        <v/>
      </c>
      <c r="AN472" s="44"/>
      <c r="AO472" s="44"/>
      <c r="AP472" s="46"/>
      <c r="AQ472" s="46"/>
      <c r="AR472" s="46"/>
      <c r="AS472" s="44"/>
      <c r="AT472" s="44"/>
      <c r="AU472" s="44"/>
      <c r="AV472" s="44"/>
      <c r="AW472" s="44"/>
      <c r="AX472" s="45"/>
      <c r="AY472" s="44"/>
      <c r="AZ472" s="56"/>
      <c r="BA472" s="45"/>
    </row>
    <row r="473" customFormat="false" ht="15" hidden="false" customHeight="false" outlineLevel="0" collapsed="false">
      <c r="A473" s="44"/>
      <c r="B473" s="44"/>
      <c r="C473" s="45"/>
      <c r="D473" s="45"/>
      <c r="E473" s="44"/>
      <c r="F473" s="44"/>
      <c r="G473" s="44"/>
      <c r="H473" s="44"/>
      <c r="I473" s="44"/>
      <c r="J473" s="44"/>
      <c r="K473" s="44"/>
      <c r="L473" s="44"/>
      <c r="M473" s="44"/>
      <c r="N473" s="44"/>
      <c r="O473" s="46"/>
      <c r="P473" s="44"/>
      <c r="Q473" s="46"/>
      <c r="R473" s="44"/>
      <c r="S473" s="45"/>
      <c r="T473" s="44"/>
      <c r="U473" s="44"/>
      <c r="V473" s="47"/>
      <c r="W473" s="48" t="str">
        <f aca="false">IF(V473="","",IFERROR(V473/O473,""))</f>
        <v/>
      </c>
      <c r="X473" s="44"/>
      <c r="Y473" s="46"/>
      <c r="Z473" s="49"/>
      <c r="AA473" s="44"/>
      <c r="AB473" s="50" t="str">
        <f aca="false">IFERROR(INDEX(TABLA_IVA!$C$3:$C$6,MATCH(AA473,TABLA_IVA!$A$3:$A$6,0)),"")</f>
        <v/>
      </c>
      <c r="AC473" s="47"/>
      <c r="AD473" s="44"/>
      <c r="AE473" s="51"/>
      <c r="AF473" s="52" t="str">
        <f aca="false">IF(OR(AC473="",AE473="",AB473=""),"",IFERROR(AC473/(1-AE473)*(1+AB473),""))</f>
        <v/>
      </c>
      <c r="AG473" s="47"/>
      <c r="AH473" s="52" t="str">
        <f aca="false">IF(AD473="FIJO",IF(AG473="","",AG473),IF(AF473&lt;&gt;"",AF473,IF(AG473="","",AG473)))</f>
        <v/>
      </c>
      <c r="AI473" s="52" t="str">
        <f aca="false">IF(OR(AH473="",AB473=""),"",IFERROR(AH473/(1+AB473),""))</f>
        <v/>
      </c>
      <c r="AJ473" s="50" t="str">
        <f aca="false">IF(OR(AI473="",AC473=""),"",IFERROR((AI473-AC473)/AI473,""))</f>
        <v/>
      </c>
      <c r="AK473" s="53" t="str">
        <f aca="false">IF(OR(AJ473="",AE473=""),"",AJ473-AE473)</f>
        <v/>
      </c>
      <c r="AL473" s="54" t="str">
        <f aca="false">IF(OR(AH473="",AF473=""),"",AH473-AF473)</f>
        <v/>
      </c>
      <c r="AM473" s="55" t="str">
        <f aca="false">IF(OR(A473="",K473&lt;&gt;"SI"),"",IF(AE473="","Sin objetivo",IF(AJ473="","Faltan datos",IF(AJ473&lt;0,"PÉRDIDA",IF(AK473&lt;-UMB_CRITICO,"MUY POR DEBAJO",IF(AK473&lt;-UMB_BAJO,"POR DEBAJO",IF(AK473&lt;-UMB_AJUSTADO,"AJUSTADO",IF(AK473&lt;=UMB_ALTO,"EN OBJETIVO","POR ENCIMA"))))))))</f>
        <v/>
      </c>
      <c r="AN473" s="44"/>
      <c r="AO473" s="44"/>
      <c r="AP473" s="46"/>
      <c r="AQ473" s="46"/>
      <c r="AR473" s="46"/>
      <c r="AS473" s="44"/>
      <c r="AT473" s="44"/>
      <c r="AU473" s="44"/>
      <c r="AV473" s="44"/>
      <c r="AW473" s="44"/>
      <c r="AX473" s="45"/>
      <c r="AY473" s="44"/>
      <c r="AZ473" s="56"/>
      <c r="BA473" s="45"/>
    </row>
    <row r="474" customFormat="false" ht="15" hidden="false" customHeight="false" outlineLevel="0" collapsed="false">
      <c r="A474" s="44"/>
      <c r="B474" s="44"/>
      <c r="C474" s="45"/>
      <c r="D474" s="45"/>
      <c r="E474" s="44"/>
      <c r="F474" s="44"/>
      <c r="G474" s="44"/>
      <c r="H474" s="44"/>
      <c r="I474" s="44"/>
      <c r="J474" s="44"/>
      <c r="K474" s="44"/>
      <c r="L474" s="44"/>
      <c r="M474" s="44"/>
      <c r="N474" s="44"/>
      <c r="O474" s="46"/>
      <c r="P474" s="44"/>
      <c r="Q474" s="46"/>
      <c r="R474" s="44"/>
      <c r="S474" s="45"/>
      <c r="T474" s="44"/>
      <c r="U474" s="44"/>
      <c r="V474" s="47"/>
      <c r="W474" s="48" t="str">
        <f aca="false">IF(V474="","",IFERROR(V474/O474,""))</f>
        <v/>
      </c>
      <c r="X474" s="44"/>
      <c r="Y474" s="46"/>
      <c r="Z474" s="49"/>
      <c r="AA474" s="44"/>
      <c r="AB474" s="50" t="str">
        <f aca="false">IFERROR(INDEX(TABLA_IVA!$C$3:$C$6,MATCH(AA474,TABLA_IVA!$A$3:$A$6,0)),"")</f>
        <v/>
      </c>
      <c r="AC474" s="47"/>
      <c r="AD474" s="44"/>
      <c r="AE474" s="51"/>
      <c r="AF474" s="52" t="str">
        <f aca="false">IF(OR(AC474="",AE474="",AB474=""),"",IFERROR(AC474/(1-AE474)*(1+AB474),""))</f>
        <v/>
      </c>
      <c r="AG474" s="47"/>
      <c r="AH474" s="52" t="str">
        <f aca="false">IF(AD474="FIJO",IF(AG474="","",AG474),IF(AF474&lt;&gt;"",AF474,IF(AG474="","",AG474)))</f>
        <v/>
      </c>
      <c r="AI474" s="52" t="str">
        <f aca="false">IF(OR(AH474="",AB474=""),"",IFERROR(AH474/(1+AB474),""))</f>
        <v/>
      </c>
      <c r="AJ474" s="50" t="str">
        <f aca="false">IF(OR(AI474="",AC474=""),"",IFERROR((AI474-AC474)/AI474,""))</f>
        <v/>
      </c>
      <c r="AK474" s="53" t="str">
        <f aca="false">IF(OR(AJ474="",AE474=""),"",AJ474-AE474)</f>
        <v/>
      </c>
      <c r="AL474" s="54" t="str">
        <f aca="false">IF(OR(AH474="",AF474=""),"",AH474-AF474)</f>
        <v/>
      </c>
      <c r="AM474" s="55" t="str">
        <f aca="false">IF(OR(A474="",K474&lt;&gt;"SI"),"",IF(AE474="","Sin objetivo",IF(AJ474="","Faltan datos",IF(AJ474&lt;0,"PÉRDIDA",IF(AK474&lt;-UMB_CRITICO,"MUY POR DEBAJO",IF(AK474&lt;-UMB_BAJO,"POR DEBAJO",IF(AK474&lt;-UMB_AJUSTADO,"AJUSTADO",IF(AK474&lt;=UMB_ALTO,"EN OBJETIVO","POR ENCIMA"))))))))</f>
        <v/>
      </c>
      <c r="AN474" s="44"/>
      <c r="AO474" s="44"/>
      <c r="AP474" s="46"/>
      <c r="AQ474" s="46"/>
      <c r="AR474" s="46"/>
      <c r="AS474" s="44"/>
      <c r="AT474" s="44"/>
      <c r="AU474" s="44"/>
      <c r="AV474" s="44"/>
      <c r="AW474" s="44"/>
      <c r="AX474" s="45"/>
      <c r="AY474" s="44"/>
      <c r="AZ474" s="56"/>
      <c r="BA474" s="45"/>
    </row>
    <row r="475" customFormat="false" ht="15" hidden="false" customHeight="false" outlineLevel="0" collapsed="false">
      <c r="A475" s="44"/>
      <c r="B475" s="44"/>
      <c r="C475" s="45"/>
      <c r="D475" s="45"/>
      <c r="E475" s="44"/>
      <c r="F475" s="44"/>
      <c r="G475" s="44"/>
      <c r="H475" s="44"/>
      <c r="I475" s="44"/>
      <c r="J475" s="44"/>
      <c r="K475" s="44"/>
      <c r="L475" s="44"/>
      <c r="M475" s="44"/>
      <c r="N475" s="44"/>
      <c r="O475" s="46"/>
      <c r="P475" s="44"/>
      <c r="Q475" s="46"/>
      <c r="R475" s="44"/>
      <c r="S475" s="45"/>
      <c r="T475" s="44"/>
      <c r="U475" s="44"/>
      <c r="V475" s="47"/>
      <c r="W475" s="48" t="str">
        <f aca="false">IF(V475="","",IFERROR(V475/O475,""))</f>
        <v/>
      </c>
      <c r="X475" s="44"/>
      <c r="Y475" s="46"/>
      <c r="Z475" s="49"/>
      <c r="AA475" s="44"/>
      <c r="AB475" s="50" t="str">
        <f aca="false">IFERROR(INDEX(TABLA_IVA!$C$3:$C$6,MATCH(AA475,TABLA_IVA!$A$3:$A$6,0)),"")</f>
        <v/>
      </c>
      <c r="AC475" s="47"/>
      <c r="AD475" s="44"/>
      <c r="AE475" s="51"/>
      <c r="AF475" s="52" t="str">
        <f aca="false">IF(OR(AC475="",AE475="",AB475=""),"",IFERROR(AC475/(1-AE475)*(1+AB475),""))</f>
        <v/>
      </c>
      <c r="AG475" s="47"/>
      <c r="AH475" s="52" t="str">
        <f aca="false">IF(AD475="FIJO",IF(AG475="","",AG475),IF(AF475&lt;&gt;"",AF475,IF(AG475="","",AG475)))</f>
        <v/>
      </c>
      <c r="AI475" s="52" t="str">
        <f aca="false">IF(OR(AH475="",AB475=""),"",IFERROR(AH475/(1+AB475),""))</f>
        <v/>
      </c>
      <c r="AJ475" s="50" t="str">
        <f aca="false">IF(OR(AI475="",AC475=""),"",IFERROR((AI475-AC475)/AI475,""))</f>
        <v/>
      </c>
      <c r="AK475" s="53" t="str">
        <f aca="false">IF(OR(AJ475="",AE475=""),"",AJ475-AE475)</f>
        <v/>
      </c>
      <c r="AL475" s="54" t="str">
        <f aca="false">IF(OR(AH475="",AF475=""),"",AH475-AF475)</f>
        <v/>
      </c>
      <c r="AM475" s="55" t="str">
        <f aca="false">IF(OR(A475="",K475&lt;&gt;"SI"),"",IF(AE475="","Sin objetivo",IF(AJ475="","Faltan datos",IF(AJ475&lt;0,"PÉRDIDA",IF(AK475&lt;-UMB_CRITICO,"MUY POR DEBAJO",IF(AK475&lt;-UMB_BAJO,"POR DEBAJO",IF(AK475&lt;-UMB_AJUSTADO,"AJUSTADO",IF(AK475&lt;=UMB_ALTO,"EN OBJETIVO","POR ENCIMA"))))))))</f>
        <v/>
      </c>
      <c r="AN475" s="44"/>
      <c r="AO475" s="44"/>
      <c r="AP475" s="46"/>
      <c r="AQ475" s="46"/>
      <c r="AR475" s="46"/>
      <c r="AS475" s="44"/>
      <c r="AT475" s="44"/>
      <c r="AU475" s="44"/>
      <c r="AV475" s="44"/>
      <c r="AW475" s="44"/>
      <c r="AX475" s="45"/>
      <c r="AY475" s="44"/>
      <c r="AZ475" s="56"/>
      <c r="BA475" s="45"/>
    </row>
    <row r="476" customFormat="false" ht="15" hidden="false" customHeight="false" outlineLevel="0" collapsed="false">
      <c r="A476" s="44"/>
      <c r="B476" s="44"/>
      <c r="C476" s="45"/>
      <c r="D476" s="45"/>
      <c r="E476" s="44"/>
      <c r="F476" s="44"/>
      <c r="G476" s="44"/>
      <c r="H476" s="44"/>
      <c r="I476" s="44"/>
      <c r="J476" s="44"/>
      <c r="K476" s="44"/>
      <c r="L476" s="44"/>
      <c r="M476" s="44"/>
      <c r="N476" s="44"/>
      <c r="O476" s="46"/>
      <c r="P476" s="44"/>
      <c r="Q476" s="46"/>
      <c r="R476" s="44"/>
      <c r="S476" s="45"/>
      <c r="T476" s="44"/>
      <c r="U476" s="44"/>
      <c r="V476" s="47"/>
      <c r="W476" s="48" t="str">
        <f aca="false">IF(V476="","",IFERROR(V476/O476,""))</f>
        <v/>
      </c>
      <c r="X476" s="44"/>
      <c r="Y476" s="46"/>
      <c r="Z476" s="49"/>
      <c r="AA476" s="44"/>
      <c r="AB476" s="50" t="str">
        <f aca="false">IFERROR(INDEX(TABLA_IVA!$C$3:$C$6,MATCH(AA476,TABLA_IVA!$A$3:$A$6,0)),"")</f>
        <v/>
      </c>
      <c r="AC476" s="47"/>
      <c r="AD476" s="44"/>
      <c r="AE476" s="51"/>
      <c r="AF476" s="52" t="str">
        <f aca="false">IF(OR(AC476="",AE476="",AB476=""),"",IFERROR(AC476/(1-AE476)*(1+AB476),""))</f>
        <v/>
      </c>
      <c r="AG476" s="47"/>
      <c r="AH476" s="52" t="str">
        <f aca="false">IF(AD476="FIJO",IF(AG476="","",AG476),IF(AF476&lt;&gt;"",AF476,IF(AG476="","",AG476)))</f>
        <v/>
      </c>
      <c r="AI476" s="52" t="str">
        <f aca="false">IF(OR(AH476="",AB476=""),"",IFERROR(AH476/(1+AB476),""))</f>
        <v/>
      </c>
      <c r="AJ476" s="50" t="str">
        <f aca="false">IF(OR(AI476="",AC476=""),"",IFERROR((AI476-AC476)/AI476,""))</f>
        <v/>
      </c>
      <c r="AK476" s="53" t="str">
        <f aca="false">IF(OR(AJ476="",AE476=""),"",AJ476-AE476)</f>
        <v/>
      </c>
      <c r="AL476" s="54" t="str">
        <f aca="false">IF(OR(AH476="",AF476=""),"",AH476-AF476)</f>
        <v/>
      </c>
      <c r="AM476" s="55" t="str">
        <f aca="false">IF(OR(A476="",K476&lt;&gt;"SI"),"",IF(AE476="","Sin objetivo",IF(AJ476="","Faltan datos",IF(AJ476&lt;0,"PÉRDIDA",IF(AK476&lt;-UMB_CRITICO,"MUY POR DEBAJO",IF(AK476&lt;-UMB_BAJO,"POR DEBAJO",IF(AK476&lt;-UMB_AJUSTADO,"AJUSTADO",IF(AK476&lt;=UMB_ALTO,"EN OBJETIVO","POR ENCIMA"))))))))</f>
        <v/>
      </c>
      <c r="AN476" s="44"/>
      <c r="AO476" s="44"/>
      <c r="AP476" s="46"/>
      <c r="AQ476" s="46"/>
      <c r="AR476" s="46"/>
      <c r="AS476" s="44"/>
      <c r="AT476" s="44"/>
      <c r="AU476" s="44"/>
      <c r="AV476" s="44"/>
      <c r="AW476" s="44"/>
      <c r="AX476" s="45"/>
      <c r="AY476" s="44"/>
      <c r="AZ476" s="56"/>
      <c r="BA476" s="45"/>
    </row>
    <row r="477" customFormat="false" ht="15" hidden="false" customHeight="false" outlineLevel="0" collapsed="false">
      <c r="A477" s="44"/>
      <c r="B477" s="44"/>
      <c r="C477" s="45"/>
      <c r="D477" s="45"/>
      <c r="E477" s="44"/>
      <c r="F477" s="44"/>
      <c r="G477" s="44"/>
      <c r="H477" s="44"/>
      <c r="I477" s="44"/>
      <c r="J477" s="44"/>
      <c r="K477" s="44"/>
      <c r="L477" s="44"/>
      <c r="M477" s="44"/>
      <c r="N477" s="44"/>
      <c r="O477" s="46"/>
      <c r="P477" s="44"/>
      <c r="Q477" s="46"/>
      <c r="R477" s="44"/>
      <c r="S477" s="45"/>
      <c r="T477" s="44"/>
      <c r="U477" s="44"/>
      <c r="V477" s="47"/>
      <c r="W477" s="48" t="str">
        <f aca="false">IF(V477="","",IFERROR(V477/O477,""))</f>
        <v/>
      </c>
      <c r="X477" s="44"/>
      <c r="Y477" s="46"/>
      <c r="Z477" s="49"/>
      <c r="AA477" s="44"/>
      <c r="AB477" s="50" t="str">
        <f aca="false">IFERROR(INDEX(TABLA_IVA!$C$3:$C$6,MATCH(AA477,TABLA_IVA!$A$3:$A$6,0)),"")</f>
        <v/>
      </c>
      <c r="AC477" s="47"/>
      <c r="AD477" s="44"/>
      <c r="AE477" s="51"/>
      <c r="AF477" s="52" t="str">
        <f aca="false">IF(OR(AC477="",AE477="",AB477=""),"",IFERROR(AC477/(1-AE477)*(1+AB477),""))</f>
        <v/>
      </c>
      <c r="AG477" s="47"/>
      <c r="AH477" s="52" t="str">
        <f aca="false">IF(AD477="FIJO",IF(AG477="","",AG477),IF(AF477&lt;&gt;"",AF477,IF(AG477="","",AG477)))</f>
        <v/>
      </c>
      <c r="AI477" s="52" t="str">
        <f aca="false">IF(OR(AH477="",AB477=""),"",IFERROR(AH477/(1+AB477),""))</f>
        <v/>
      </c>
      <c r="AJ477" s="50" t="str">
        <f aca="false">IF(OR(AI477="",AC477=""),"",IFERROR((AI477-AC477)/AI477,""))</f>
        <v/>
      </c>
      <c r="AK477" s="53" t="str">
        <f aca="false">IF(OR(AJ477="",AE477=""),"",AJ477-AE477)</f>
        <v/>
      </c>
      <c r="AL477" s="54" t="str">
        <f aca="false">IF(OR(AH477="",AF477=""),"",AH477-AF477)</f>
        <v/>
      </c>
      <c r="AM477" s="55" t="str">
        <f aca="false">IF(OR(A477="",K477&lt;&gt;"SI"),"",IF(AE477="","Sin objetivo",IF(AJ477="","Faltan datos",IF(AJ477&lt;0,"PÉRDIDA",IF(AK477&lt;-UMB_CRITICO,"MUY POR DEBAJO",IF(AK477&lt;-UMB_BAJO,"POR DEBAJO",IF(AK477&lt;-UMB_AJUSTADO,"AJUSTADO",IF(AK477&lt;=UMB_ALTO,"EN OBJETIVO","POR ENCIMA"))))))))</f>
        <v/>
      </c>
      <c r="AN477" s="44"/>
      <c r="AO477" s="44"/>
      <c r="AP477" s="46"/>
      <c r="AQ477" s="46"/>
      <c r="AR477" s="46"/>
      <c r="AS477" s="44"/>
      <c r="AT477" s="44"/>
      <c r="AU477" s="44"/>
      <c r="AV477" s="44"/>
      <c r="AW477" s="44"/>
      <c r="AX477" s="45"/>
      <c r="AY477" s="44"/>
      <c r="AZ477" s="56"/>
      <c r="BA477" s="45"/>
    </row>
    <row r="478" customFormat="false" ht="15" hidden="false" customHeight="false" outlineLevel="0" collapsed="false">
      <c r="A478" s="44"/>
      <c r="B478" s="44"/>
      <c r="C478" s="45"/>
      <c r="D478" s="45"/>
      <c r="E478" s="44"/>
      <c r="F478" s="44"/>
      <c r="G478" s="44"/>
      <c r="H478" s="44"/>
      <c r="I478" s="44"/>
      <c r="J478" s="44"/>
      <c r="K478" s="44"/>
      <c r="L478" s="44"/>
      <c r="M478" s="44"/>
      <c r="N478" s="44"/>
      <c r="O478" s="46"/>
      <c r="P478" s="44"/>
      <c r="Q478" s="46"/>
      <c r="R478" s="44"/>
      <c r="S478" s="45"/>
      <c r="T478" s="44"/>
      <c r="U478" s="44"/>
      <c r="V478" s="47"/>
      <c r="W478" s="48" t="str">
        <f aca="false">IF(V478="","",IFERROR(V478/O478,""))</f>
        <v/>
      </c>
      <c r="X478" s="44"/>
      <c r="Y478" s="46"/>
      <c r="Z478" s="49"/>
      <c r="AA478" s="44"/>
      <c r="AB478" s="50" t="str">
        <f aca="false">IFERROR(INDEX(TABLA_IVA!$C$3:$C$6,MATCH(AA478,TABLA_IVA!$A$3:$A$6,0)),"")</f>
        <v/>
      </c>
      <c r="AC478" s="47"/>
      <c r="AD478" s="44"/>
      <c r="AE478" s="51"/>
      <c r="AF478" s="52" t="str">
        <f aca="false">IF(OR(AC478="",AE478="",AB478=""),"",IFERROR(AC478/(1-AE478)*(1+AB478),""))</f>
        <v/>
      </c>
      <c r="AG478" s="47"/>
      <c r="AH478" s="52" t="str">
        <f aca="false">IF(AD478="FIJO",IF(AG478="","",AG478),IF(AF478&lt;&gt;"",AF478,IF(AG478="","",AG478)))</f>
        <v/>
      </c>
      <c r="AI478" s="52" t="str">
        <f aca="false">IF(OR(AH478="",AB478=""),"",IFERROR(AH478/(1+AB478),""))</f>
        <v/>
      </c>
      <c r="AJ478" s="50" t="str">
        <f aca="false">IF(OR(AI478="",AC478=""),"",IFERROR((AI478-AC478)/AI478,""))</f>
        <v/>
      </c>
      <c r="AK478" s="53" t="str">
        <f aca="false">IF(OR(AJ478="",AE478=""),"",AJ478-AE478)</f>
        <v/>
      </c>
      <c r="AL478" s="54" t="str">
        <f aca="false">IF(OR(AH478="",AF478=""),"",AH478-AF478)</f>
        <v/>
      </c>
      <c r="AM478" s="55" t="str">
        <f aca="false">IF(OR(A478="",K478&lt;&gt;"SI"),"",IF(AE478="","Sin objetivo",IF(AJ478="","Faltan datos",IF(AJ478&lt;0,"PÉRDIDA",IF(AK478&lt;-UMB_CRITICO,"MUY POR DEBAJO",IF(AK478&lt;-UMB_BAJO,"POR DEBAJO",IF(AK478&lt;-UMB_AJUSTADO,"AJUSTADO",IF(AK478&lt;=UMB_ALTO,"EN OBJETIVO","POR ENCIMA"))))))))</f>
        <v/>
      </c>
      <c r="AN478" s="44"/>
      <c r="AO478" s="44"/>
      <c r="AP478" s="46"/>
      <c r="AQ478" s="46"/>
      <c r="AR478" s="46"/>
      <c r="AS478" s="44"/>
      <c r="AT478" s="44"/>
      <c r="AU478" s="44"/>
      <c r="AV478" s="44"/>
      <c r="AW478" s="44"/>
      <c r="AX478" s="45"/>
      <c r="AY478" s="44"/>
      <c r="AZ478" s="56"/>
      <c r="BA478" s="45"/>
    </row>
    <row r="479" customFormat="false" ht="15" hidden="false" customHeight="false" outlineLevel="0" collapsed="false">
      <c r="A479" s="44"/>
      <c r="B479" s="44"/>
      <c r="C479" s="45"/>
      <c r="D479" s="45"/>
      <c r="E479" s="44"/>
      <c r="F479" s="44"/>
      <c r="G479" s="44"/>
      <c r="H479" s="44"/>
      <c r="I479" s="44"/>
      <c r="J479" s="44"/>
      <c r="K479" s="44"/>
      <c r="L479" s="44"/>
      <c r="M479" s="44"/>
      <c r="N479" s="44"/>
      <c r="O479" s="46"/>
      <c r="P479" s="44"/>
      <c r="Q479" s="46"/>
      <c r="R479" s="44"/>
      <c r="S479" s="45"/>
      <c r="T479" s="44"/>
      <c r="U479" s="44"/>
      <c r="V479" s="47"/>
      <c r="W479" s="48" t="str">
        <f aca="false">IF(V479="","",IFERROR(V479/O479,""))</f>
        <v/>
      </c>
      <c r="X479" s="44"/>
      <c r="Y479" s="46"/>
      <c r="Z479" s="49"/>
      <c r="AA479" s="44"/>
      <c r="AB479" s="50" t="str">
        <f aca="false">IFERROR(INDEX(TABLA_IVA!$C$3:$C$6,MATCH(AA479,TABLA_IVA!$A$3:$A$6,0)),"")</f>
        <v/>
      </c>
      <c r="AC479" s="47"/>
      <c r="AD479" s="44"/>
      <c r="AE479" s="51"/>
      <c r="AF479" s="52" t="str">
        <f aca="false">IF(OR(AC479="",AE479="",AB479=""),"",IFERROR(AC479/(1-AE479)*(1+AB479),""))</f>
        <v/>
      </c>
      <c r="AG479" s="47"/>
      <c r="AH479" s="52" t="str">
        <f aca="false">IF(AD479="FIJO",IF(AG479="","",AG479),IF(AF479&lt;&gt;"",AF479,IF(AG479="","",AG479)))</f>
        <v/>
      </c>
      <c r="AI479" s="52" t="str">
        <f aca="false">IF(OR(AH479="",AB479=""),"",IFERROR(AH479/(1+AB479),""))</f>
        <v/>
      </c>
      <c r="AJ479" s="50" t="str">
        <f aca="false">IF(OR(AI479="",AC479=""),"",IFERROR((AI479-AC479)/AI479,""))</f>
        <v/>
      </c>
      <c r="AK479" s="53" t="str">
        <f aca="false">IF(OR(AJ479="",AE479=""),"",AJ479-AE479)</f>
        <v/>
      </c>
      <c r="AL479" s="54" t="str">
        <f aca="false">IF(OR(AH479="",AF479=""),"",AH479-AF479)</f>
        <v/>
      </c>
      <c r="AM479" s="55" t="str">
        <f aca="false">IF(OR(A479="",K479&lt;&gt;"SI"),"",IF(AE479="","Sin objetivo",IF(AJ479="","Faltan datos",IF(AJ479&lt;0,"PÉRDIDA",IF(AK479&lt;-UMB_CRITICO,"MUY POR DEBAJO",IF(AK479&lt;-UMB_BAJO,"POR DEBAJO",IF(AK479&lt;-UMB_AJUSTADO,"AJUSTADO",IF(AK479&lt;=UMB_ALTO,"EN OBJETIVO","POR ENCIMA"))))))))</f>
        <v/>
      </c>
      <c r="AN479" s="44"/>
      <c r="AO479" s="44"/>
      <c r="AP479" s="46"/>
      <c r="AQ479" s="46"/>
      <c r="AR479" s="46"/>
      <c r="AS479" s="44"/>
      <c r="AT479" s="44"/>
      <c r="AU479" s="44"/>
      <c r="AV479" s="44"/>
      <c r="AW479" s="44"/>
      <c r="AX479" s="45"/>
      <c r="AY479" s="44"/>
      <c r="AZ479" s="56"/>
      <c r="BA479" s="45"/>
    </row>
    <row r="480" customFormat="false" ht="15" hidden="false" customHeight="false" outlineLevel="0" collapsed="false">
      <c r="A480" s="44"/>
      <c r="B480" s="44"/>
      <c r="C480" s="45"/>
      <c r="D480" s="45"/>
      <c r="E480" s="44"/>
      <c r="F480" s="44"/>
      <c r="G480" s="44"/>
      <c r="H480" s="44"/>
      <c r="I480" s="44"/>
      <c r="J480" s="44"/>
      <c r="K480" s="44"/>
      <c r="L480" s="44"/>
      <c r="M480" s="44"/>
      <c r="N480" s="44"/>
      <c r="O480" s="46"/>
      <c r="P480" s="44"/>
      <c r="Q480" s="46"/>
      <c r="R480" s="44"/>
      <c r="S480" s="45"/>
      <c r="T480" s="44"/>
      <c r="U480" s="44"/>
      <c r="V480" s="47"/>
      <c r="W480" s="48" t="str">
        <f aca="false">IF(V480="","",IFERROR(V480/O480,""))</f>
        <v/>
      </c>
      <c r="X480" s="44"/>
      <c r="Y480" s="46"/>
      <c r="Z480" s="49"/>
      <c r="AA480" s="44"/>
      <c r="AB480" s="50" t="str">
        <f aca="false">IFERROR(INDEX(TABLA_IVA!$C$3:$C$6,MATCH(AA480,TABLA_IVA!$A$3:$A$6,0)),"")</f>
        <v/>
      </c>
      <c r="AC480" s="47"/>
      <c r="AD480" s="44"/>
      <c r="AE480" s="51"/>
      <c r="AF480" s="52" t="str">
        <f aca="false">IF(OR(AC480="",AE480="",AB480=""),"",IFERROR(AC480/(1-AE480)*(1+AB480),""))</f>
        <v/>
      </c>
      <c r="AG480" s="47"/>
      <c r="AH480" s="52" t="str">
        <f aca="false">IF(AD480="FIJO",IF(AG480="","",AG480),IF(AF480&lt;&gt;"",AF480,IF(AG480="","",AG480)))</f>
        <v/>
      </c>
      <c r="AI480" s="52" t="str">
        <f aca="false">IF(OR(AH480="",AB480=""),"",IFERROR(AH480/(1+AB480),""))</f>
        <v/>
      </c>
      <c r="AJ480" s="50" t="str">
        <f aca="false">IF(OR(AI480="",AC480=""),"",IFERROR((AI480-AC480)/AI480,""))</f>
        <v/>
      </c>
      <c r="AK480" s="53" t="str">
        <f aca="false">IF(OR(AJ480="",AE480=""),"",AJ480-AE480)</f>
        <v/>
      </c>
      <c r="AL480" s="54" t="str">
        <f aca="false">IF(OR(AH480="",AF480=""),"",AH480-AF480)</f>
        <v/>
      </c>
      <c r="AM480" s="55" t="str">
        <f aca="false">IF(OR(A480="",K480&lt;&gt;"SI"),"",IF(AE480="","Sin objetivo",IF(AJ480="","Faltan datos",IF(AJ480&lt;0,"PÉRDIDA",IF(AK480&lt;-UMB_CRITICO,"MUY POR DEBAJO",IF(AK480&lt;-UMB_BAJO,"POR DEBAJO",IF(AK480&lt;-UMB_AJUSTADO,"AJUSTADO",IF(AK480&lt;=UMB_ALTO,"EN OBJETIVO","POR ENCIMA"))))))))</f>
        <v/>
      </c>
      <c r="AN480" s="44"/>
      <c r="AO480" s="44"/>
      <c r="AP480" s="46"/>
      <c r="AQ480" s="46"/>
      <c r="AR480" s="46"/>
      <c r="AS480" s="44"/>
      <c r="AT480" s="44"/>
      <c r="AU480" s="44"/>
      <c r="AV480" s="44"/>
      <c r="AW480" s="44"/>
      <c r="AX480" s="45"/>
      <c r="AY480" s="44"/>
      <c r="AZ480" s="56"/>
      <c r="BA480" s="45"/>
    </row>
    <row r="481" customFormat="false" ht="15" hidden="false" customHeight="false" outlineLevel="0" collapsed="false">
      <c r="A481" s="44"/>
      <c r="B481" s="44"/>
      <c r="C481" s="45"/>
      <c r="D481" s="45"/>
      <c r="E481" s="44"/>
      <c r="F481" s="44"/>
      <c r="G481" s="44"/>
      <c r="H481" s="44"/>
      <c r="I481" s="44"/>
      <c r="J481" s="44"/>
      <c r="K481" s="44"/>
      <c r="L481" s="44"/>
      <c r="M481" s="44"/>
      <c r="N481" s="44"/>
      <c r="O481" s="46"/>
      <c r="P481" s="44"/>
      <c r="Q481" s="46"/>
      <c r="R481" s="44"/>
      <c r="S481" s="45"/>
      <c r="T481" s="44"/>
      <c r="U481" s="44"/>
      <c r="V481" s="47"/>
      <c r="W481" s="48" t="str">
        <f aca="false">IF(V481="","",IFERROR(V481/O481,""))</f>
        <v/>
      </c>
      <c r="X481" s="44"/>
      <c r="Y481" s="46"/>
      <c r="Z481" s="49"/>
      <c r="AA481" s="44"/>
      <c r="AB481" s="50" t="str">
        <f aca="false">IFERROR(INDEX(TABLA_IVA!$C$3:$C$6,MATCH(AA481,TABLA_IVA!$A$3:$A$6,0)),"")</f>
        <v/>
      </c>
      <c r="AC481" s="47"/>
      <c r="AD481" s="44"/>
      <c r="AE481" s="51"/>
      <c r="AF481" s="52" t="str">
        <f aca="false">IF(OR(AC481="",AE481="",AB481=""),"",IFERROR(AC481/(1-AE481)*(1+AB481),""))</f>
        <v/>
      </c>
      <c r="AG481" s="47"/>
      <c r="AH481" s="52" t="str">
        <f aca="false">IF(AD481="FIJO",IF(AG481="","",AG481),IF(AF481&lt;&gt;"",AF481,IF(AG481="","",AG481)))</f>
        <v/>
      </c>
      <c r="AI481" s="52" t="str">
        <f aca="false">IF(OR(AH481="",AB481=""),"",IFERROR(AH481/(1+AB481),""))</f>
        <v/>
      </c>
      <c r="AJ481" s="50" t="str">
        <f aca="false">IF(OR(AI481="",AC481=""),"",IFERROR((AI481-AC481)/AI481,""))</f>
        <v/>
      </c>
      <c r="AK481" s="53" t="str">
        <f aca="false">IF(OR(AJ481="",AE481=""),"",AJ481-AE481)</f>
        <v/>
      </c>
      <c r="AL481" s="54" t="str">
        <f aca="false">IF(OR(AH481="",AF481=""),"",AH481-AF481)</f>
        <v/>
      </c>
      <c r="AM481" s="55" t="str">
        <f aca="false">IF(OR(A481="",K481&lt;&gt;"SI"),"",IF(AE481="","Sin objetivo",IF(AJ481="","Faltan datos",IF(AJ481&lt;0,"PÉRDIDA",IF(AK481&lt;-UMB_CRITICO,"MUY POR DEBAJO",IF(AK481&lt;-UMB_BAJO,"POR DEBAJO",IF(AK481&lt;-UMB_AJUSTADO,"AJUSTADO",IF(AK481&lt;=UMB_ALTO,"EN OBJETIVO","POR ENCIMA"))))))))</f>
        <v/>
      </c>
      <c r="AN481" s="44"/>
      <c r="AO481" s="44"/>
      <c r="AP481" s="46"/>
      <c r="AQ481" s="46"/>
      <c r="AR481" s="46"/>
      <c r="AS481" s="44"/>
      <c r="AT481" s="44"/>
      <c r="AU481" s="44"/>
      <c r="AV481" s="44"/>
      <c r="AW481" s="44"/>
      <c r="AX481" s="45"/>
      <c r="AY481" s="44"/>
      <c r="AZ481" s="56"/>
      <c r="BA481" s="45"/>
    </row>
    <row r="482" customFormat="false" ht="15" hidden="false" customHeight="false" outlineLevel="0" collapsed="false">
      <c r="A482" s="44"/>
      <c r="B482" s="44"/>
      <c r="C482" s="45"/>
      <c r="D482" s="45"/>
      <c r="E482" s="44"/>
      <c r="F482" s="44"/>
      <c r="G482" s="44"/>
      <c r="H482" s="44"/>
      <c r="I482" s="44"/>
      <c r="J482" s="44"/>
      <c r="K482" s="44"/>
      <c r="L482" s="44"/>
      <c r="M482" s="44"/>
      <c r="N482" s="44"/>
      <c r="O482" s="46"/>
      <c r="P482" s="44"/>
      <c r="Q482" s="46"/>
      <c r="R482" s="44"/>
      <c r="S482" s="45"/>
      <c r="T482" s="44"/>
      <c r="U482" s="44"/>
      <c r="V482" s="47"/>
      <c r="W482" s="48" t="str">
        <f aca="false">IF(V482="","",IFERROR(V482/O482,""))</f>
        <v/>
      </c>
      <c r="X482" s="44"/>
      <c r="Y482" s="46"/>
      <c r="Z482" s="49"/>
      <c r="AA482" s="44"/>
      <c r="AB482" s="50" t="str">
        <f aca="false">IFERROR(INDEX(TABLA_IVA!$C$3:$C$6,MATCH(AA482,TABLA_IVA!$A$3:$A$6,0)),"")</f>
        <v/>
      </c>
      <c r="AC482" s="47"/>
      <c r="AD482" s="44"/>
      <c r="AE482" s="51"/>
      <c r="AF482" s="52" t="str">
        <f aca="false">IF(OR(AC482="",AE482="",AB482=""),"",IFERROR(AC482/(1-AE482)*(1+AB482),""))</f>
        <v/>
      </c>
      <c r="AG482" s="47"/>
      <c r="AH482" s="52" t="str">
        <f aca="false">IF(AD482="FIJO",IF(AG482="","",AG482),IF(AF482&lt;&gt;"",AF482,IF(AG482="","",AG482)))</f>
        <v/>
      </c>
      <c r="AI482" s="52" t="str">
        <f aca="false">IF(OR(AH482="",AB482=""),"",IFERROR(AH482/(1+AB482),""))</f>
        <v/>
      </c>
      <c r="AJ482" s="50" t="str">
        <f aca="false">IF(OR(AI482="",AC482=""),"",IFERROR((AI482-AC482)/AI482,""))</f>
        <v/>
      </c>
      <c r="AK482" s="53" t="str">
        <f aca="false">IF(OR(AJ482="",AE482=""),"",AJ482-AE482)</f>
        <v/>
      </c>
      <c r="AL482" s="54" t="str">
        <f aca="false">IF(OR(AH482="",AF482=""),"",AH482-AF482)</f>
        <v/>
      </c>
      <c r="AM482" s="55" t="str">
        <f aca="false">IF(OR(A482="",K482&lt;&gt;"SI"),"",IF(AE482="","Sin objetivo",IF(AJ482="","Faltan datos",IF(AJ482&lt;0,"PÉRDIDA",IF(AK482&lt;-UMB_CRITICO,"MUY POR DEBAJO",IF(AK482&lt;-UMB_BAJO,"POR DEBAJO",IF(AK482&lt;-UMB_AJUSTADO,"AJUSTADO",IF(AK482&lt;=UMB_ALTO,"EN OBJETIVO","POR ENCIMA"))))))))</f>
        <v/>
      </c>
      <c r="AN482" s="44"/>
      <c r="AO482" s="44"/>
      <c r="AP482" s="46"/>
      <c r="AQ482" s="46"/>
      <c r="AR482" s="46"/>
      <c r="AS482" s="44"/>
      <c r="AT482" s="44"/>
      <c r="AU482" s="44"/>
      <c r="AV482" s="44"/>
      <c r="AW482" s="44"/>
      <c r="AX482" s="45"/>
      <c r="AY482" s="44"/>
      <c r="AZ482" s="56"/>
      <c r="BA482" s="45"/>
    </row>
    <row r="483" customFormat="false" ht="15" hidden="false" customHeight="false" outlineLevel="0" collapsed="false">
      <c r="A483" s="44"/>
      <c r="B483" s="44"/>
      <c r="C483" s="45"/>
      <c r="D483" s="45"/>
      <c r="E483" s="44"/>
      <c r="F483" s="44"/>
      <c r="G483" s="44"/>
      <c r="H483" s="44"/>
      <c r="I483" s="44"/>
      <c r="J483" s="44"/>
      <c r="K483" s="44"/>
      <c r="L483" s="44"/>
      <c r="M483" s="44"/>
      <c r="N483" s="44"/>
      <c r="O483" s="46"/>
      <c r="P483" s="44"/>
      <c r="Q483" s="46"/>
      <c r="R483" s="44"/>
      <c r="S483" s="45"/>
      <c r="T483" s="44"/>
      <c r="U483" s="44"/>
      <c r="V483" s="47"/>
      <c r="W483" s="48" t="str">
        <f aca="false">IF(V483="","",IFERROR(V483/O483,""))</f>
        <v/>
      </c>
      <c r="X483" s="44"/>
      <c r="Y483" s="46"/>
      <c r="Z483" s="49"/>
      <c r="AA483" s="44"/>
      <c r="AB483" s="50" t="str">
        <f aca="false">IFERROR(INDEX(TABLA_IVA!$C$3:$C$6,MATCH(AA483,TABLA_IVA!$A$3:$A$6,0)),"")</f>
        <v/>
      </c>
      <c r="AC483" s="47"/>
      <c r="AD483" s="44"/>
      <c r="AE483" s="51"/>
      <c r="AF483" s="52" t="str">
        <f aca="false">IF(OR(AC483="",AE483="",AB483=""),"",IFERROR(AC483/(1-AE483)*(1+AB483),""))</f>
        <v/>
      </c>
      <c r="AG483" s="47"/>
      <c r="AH483" s="52" t="str">
        <f aca="false">IF(AD483="FIJO",IF(AG483="","",AG483),IF(AF483&lt;&gt;"",AF483,IF(AG483="","",AG483)))</f>
        <v/>
      </c>
      <c r="AI483" s="52" t="str">
        <f aca="false">IF(OR(AH483="",AB483=""),"",IFERROR(AH483/(1+AB483),""))</f>
        <v/>
      </c>
      <c r="AJ483" s="50" t="str">
        <f aca="false">IF(OR(AI483="",AC483=""),"",IFERROR((AI483-AC483)/AI483,""))</f>
        <v/>
      </c>
      <c r="AK483" s="53" t="str">
        <f aca="false">IF(OR(AJ483="",AE483=""),"",AJ483-AE483)</f>
        <v/>
      </c>
      <c r="AL483" s="54" t="str">
        <f aca="false">IF(OR(AH483="",AF483=""),"",AH483-AF483)</f>
        <v/>
      </c>
      <c r="AM483" s="55" t="str">
        <f aca="false">IF(OR(A483="",K483&lt;&gt;"SI"),"",IF(AE483="","Sin objetivo",IF(AJ483="","Faltan datos",IF(AJ483&lt;0,"PÉRDIDA",IF(AK483&lt;-UMB_CRITICO,"MUY POR DEBAJO",IF(AK483&lt;-UMB_BAJO,"POR DEBAJO",IF(AK483&lt;-UMB_AJUSTADO,"AJUSTADO",IF(AK483&lt;=UMB_ALTO,"EN OBJETIVO","POR ENCIMA"))))))))</f>
        <v/>
      </c>
      <c r="AN483" s="44"/>
      <c r="AO483" s="44"/>
      <c r="AP483" s="46"/>
      <c r="AQ483" s="46"/>
      <c r="AR483" s="46"/>
      <c r="AS483" s="44"/>
      <c r="AT483" s="44"/>
      <c r="AU483" s="44"/>
      <c r="AV483" s="44"/>
      <c r="AW483" s="44"/>
      <c r="AX483" s="45"/>
      <c r="AY483" s="44"/>
      <c r="AZ483" s="56"/>
      <c r="BA483" s="45"/>
    </row>
    <row r="484" customFormat="false" ht="15" hidden="false" customHeight="false" outlineLevel="0" collapsed="false">
      <c r="A484" s="44"/>
      <c r="B484" s="44"/>
      <c r="C484" s="45"/>
      <c r="D484" s="45"/>
      <c r="E484" s="44"/>
      <c r="F484" s="44"/>
      <c r="G484" s="44"/>
      <c r="H484" s="44"/>
      <c r="I484" s="44"/>
      <c r="J484" s="44"/>
      <c r="K484" s="44"/>
      <c r="L484" s="44"/>
      <c r="M484" s="44"/>
      <c r="N484" s="44"/>
      <c r="O484" s="46"/>
      <c r="P484" s="44"/>
      <c r="Q484" s="46"/>
      <c r="R484" s="44"/>
      <c r="S484" s="45"/>
      <c r="T484" s="44"/>
      <c r="U484" s="44"/>
      <c r="V484" s="47"/>
      <c r="W484" s="48" t="str">
        <f aca="false">IF(V484="","",IFERROR(V484/O484,""))</f>
        <v/>
      </c>
      <c r="X484" s="44"/>
      <c r="Y484" s="46"/>
      <c r="Z484" s="49"/>
      <c r="AA484" s="44"/>
      <c r="AB484" s="50" t="str">
        <f aca="false">IFERROR(INDEX(TABLA_IVA!$C$3:$C$6,MATCH(AA484,TABLA_IVA!$A$3:$A$6,0)),"")</f>
        <v/>
      </c>
      <c r="AC484" s="47"/>
      <c r="AD484" s="44"/>
      <c r="AE484" s="51"/>
      <c r="AF484" s="52" t="str">
        <f aca="false">IF(OR(AC484="",AE484="",AB484=""),"",IFERROR(AC484/(1-AE484)*(1+AB484),""))</f>
        <v/>
      </c>
      <c r="AG484" s="47"/>
      <c r="AH484" s="52" t="str">
        <f aca="false">IF(AD484="FIJO",IF(AG484="","",AG484),IF(AF484&lt;&gt;"",AF484,IF(AG484="","",AG484)))</f>
        <v/>
      </c>
      <c r="AI484" s="52" t="str">
        <f aca="false">IF(OR(AH484="",AB484=""),"",IFERROR(AH484/(1+AB484),""))</f>
        <v/>
      </c>
      <c r="AJ484" s="50" t="str">
        <f aca="false">IF(OR(AI484="",AC484=""),"",IFERROR((AI484-AC484)/AI484,""))</f>
        <v/>
      </c>
      <c r="AK484" s="53" t="str">
        <f aca="false">IF(OR(AJ484="",AE484=""),"",AJ484-AE484)</f>
        <v/>
      </c>
      <c r="AL484" s="54" t="str">
        <f aca="false">IF(OR(AH484="",AF484=""),"",AH484-AF484)</f>
        <v/>
      </c>
      <c r="AM484" s="55" t="str">
        <f aca="false">IF(OR(A484="",K484&lt;&gt;"SI"),"",IF(AE484="","Sin objetivo",IF(AJ484="","Faltan datos",IF(AJ484&lt;0,"PÉRDIDA",IF(AK484&lt;-UMB_CRITICO,"MUY POR DEBAJO",IF(AK484&lt;-UMB_BAJO,"POR DEBAJO",IF(AK484&lt;-UMB_AJUSTADO,"AJUSTADO",IF(AK484&lt;=UMB_ALTO,"EN OBJETIVO","POR ENCIMA"))))))))</f>
        <v/>
      </c>
      <c r="AN484" s="44"/>
      <c r="AO484" s="44"/>
      <c r="AP484" s="46"/>
      <c r="AQ484" s="46"/>
      <c r="AR484" s="46"/>
      <c r="AS484" s="44"/>
      <c r="AT484" s="44"/>
      <c r="AU484" s="44"/>
      <c r="AV484" s="44"/>
      <c r="AW484" s="44"/>
      <c r="AX484" s="45"/>
      <c r="AY484" s="44"/>
      <c r="AZ484" s="56"/>
      <c r="BA484" s="45"/>
    </row>
    <row r="485" customFormat="false" ht="15" hidden="false" customHeight="false" outlineLevel="0" collapsed="false">
      <c r="A485" s="44"/>
      <c r="B485" s="44"/>
      <c r="C485" s="45"/>
      <c r="D485" s="45"/>
      <c r="E485" s="44"/>
      <c r="F485" s="44"/>
      <c r="G485" s="44"/>
      <c r="H485" s="44"/>
      <c r="I485" s="44"/>
      <c r="J485" s="44"/>
      <c r="K485" s="44"/>
      <c r="L485" s="44"/>
      <c r="M485" s="44"/>
      <c r="N485" s="44"/>
      <c r="O485" s="46"/>
      <c r="P485" s="44"/>
      <c r="Q485" s="46"/>
      <c r="R485" s="44"/>
      <c r="S485" s="45"/>
      <c r="T485" s="44"/>
      <c r="U485" s="44"/>
      <c r="V485" s="47"/>
      <c r="W485" s="48" t="str">
        <f aca="false">IF(V485="","",IFERROR(V485/O485,""))</f>
        <v/>
      </c>
      <c r="X485" s="44"/>
      <c r="Y485" s="46"/>
      <c r="Z485" s="49"/>
      <c r="AA485" s="44"/>
      <c r="AB485" s="50" t="str">
        <f aca="false">IFERROR(INDEX(TABLA_IVA!$C$3:$C$6,MATCH(AA485,TABLA_IVA!$A$3:$A$6,0)),"")</f>
        <v/>
      </c>
      <c r="AC485" s="47"/>
      <c r="AD485" s="44"/>
      <c r="AE485" s="51"/>
      <c r="AF485" s="52" t="str">
        <f aca="false">IF(OR(AC485="",AE485="",AB485=""),"",IFERROR(AC485/(1-AE485)*(1+AB485),""))</f>
        <v/>
      </c>
      <c r="AG485" s="47"/>
      <c r="AH485" s="52" t="str">
        <f aca="false">IF(AD485="FIJO",IF(AG485="","",AG485),IF(AF485&lt;&gt;"",AF485,IF(AG485="","",AG485)))</f>
        <v/>
      </c>
      <c r="AI485" s="52" t="str">
        <f aca="false">IF(OR(AH485="",AB485=""),"",IFERROR(AH485/(1+AB485),""))</f>
        <v/>
      </c>
      <c r="AJ485" s="50" t="str">
        <f aca="false">IF(OR(AI485="",AC485=""),"",IFERROR((AI485-AC485)/AI485,""))</f>
        <v/>
      </c>
      <c r="AK485" s="53" t="str">
        <f aca="false">IF(OR(AJ485="",AE485=""),"",AJ485-AE485)</f>
        <v/>
      </c>
      <c r="AL485" s="54" t="str">
        <f aca="false">IF(OR(AH485="",AF485=""),"",AH485-AF485)</f>
        <v/>
      </c>
      <c r="AM485" s="55" t="str">
        <f aca="false">IF(OR(A485="",K485&lt;&gt;"SI"),"",IF(AE485="","Sin objetivo",IF(AJ485="","Faltan datos",IF(AJ485&lt;0,"PÉRDIDA",IF(AK485&lt;-UMB_CRITICO,"MUY POR DEBAJO",IF(AK485&lt;-UMB_BAJO,"POR DEBAJO",IF(AK485&lt;-UMB_AJUSTADO,"AJUSTADO",IF(AK485&lt;=UMB_ALTO,"EN OBJETIVO","POR ENCIMA"))))))))</f>
        <v/>
      </c>
      <c r="AN485" s="44"/>
      <c r="AO485" s="44"/>
      <c r="AP485" s="46"/>
      <c r="AQ485" s="46"/>
      <c r="AR485" s="46"/>
      <c r="AS485" s="44"/>
      <c r="AT485" s="44"/>
      <c r="AU485" s="44"/>
      <c r="AV485" s="44"/>
      <c r="AW485" s="44"/>
      <c r="AX485" s="45"/>
      <c r="AY485" s="44"/>
      <c r="AZ485" s="56"/>
      <c r="BA485" s="45"/>
    </row>
    <row r="486" customFormat="false" ht="15" hidden="false" customHeight="false" outlineLevel="0" collapsed="false">
      <c r="A486" s="44"/>
      <c r="B486" s="44"/>
      <c r="C486" s="45"/>
      <c r="D486" s="45"/>
      <c r="E486" s="44"/>
      <c r="F486" s="44"/>
      <c r="G486" s="44"/>
      <c r="H486" s="44"/>
      <c r="I486" s="44"/>
      <c r="J486" s="44"/>
      <c r="K486" s="44"/>
      <c r="L486" s="44"/>
      <c r="M486" s="44"/>
      <c r="N486" s="44"/>
      <c r="O486" s="46"/>
      <c r="P486" s="44"/>
      <c r="Q486" s="46"/>
      <c r="R486" s="44"/>
      <c r="S486" s="45"/>
      <c r="T486" s="44"/>
      <c r="U486" s="44"/>
      <c r="V486" s="47"/>
      <c r="W486" s="48" t="str">
        <f aca="false">IF(V486="","",IFERROR(V486/O486,""))</f>
        <v/>
      </c>
      <c r="X486" s="44"/>
      <c r="Y486" s="46"/>
      <c r="Z486" s="49"/>
      <c r="AA486" s="44"/>
      <c r="AB486" s="50" t="str">
        <f aca="false">IFERROR(INDEX(TABLA_IVA!$C$3:$C$6,MATCH(AA486,TABLA_IVA!$A$3:$A$6,0)),"")</f>
        <v/>
      </c>
      <c r="AC486" s="47"/>
      <c r="AD486" s="44"/>
      <c r="AE486" s="51"/>
      <c r="AF486" s="52" t="str">
        <f aca="false">IF(OR(AC486="",AE486="",AB486=""),"",IFERROR(AC486/(1-AE486)*(1+AB486),""))</f>
        <v/>
      </c>
      <c r="AG486" s="47"/>
      <c r="AH486" s="52" t="str">
        <f aca="false">IF(AD486="FIJO",IF(AG486="","",AG486),IF(AF486&lt;&gt;"",AF486,IF(AG486="","",AG486)))</f>
        <v/>
      </c>
      <c r="AI486" s="52" t="str">
        <f aca="false">IF(OR(AH486="",AB486=""),"",IFERROR(AH486/(1+AB486),""))</f>
        <v/>
      </c>
      <c r="AJ486" s="50" t="str">
        <f aca="false">IF(OR(AI486="",AC486=""),"",IFERROR((AI486-AC486)/AI486,""))</f>
        <v/>
      </c>
      <c r="AK486" s="53" t="str">
        <f aca="false">IF(OR(AJ486="",AE486=""),"",AJ486-AE486)</f>
        <v/>
      </c>
      <c r="AL486" s="54" t="str">
        <f aca="false">IF(OR(AH486="",AF486=""),"",AH486-AF486)</f>
        <v/>
      </c>
      <c r="AM486" s="55" t="str">
        <f aca="false">IF(OR(A486="",K486&lt;&gt;"SI"),"",IF(AE486="","Sin objetivo",IF(AJ486="","Faltan datos",IF(AJ486&lt;0,"PÉRDIDA",IF(AK486&lt;-UMB_CRITICO,"MUY POR DEBAJO",IF(AK486&lt;-UMB_BAJO,"POR DEBAJO",IF(AK486&lt;-UMB_AJUSTADO,"AJUSTADO",IF(AK486&lt;=UMB_ALTO,"EN OBJETIVO","POR ENCIMA"))))))))</f>
        <v/>
      </c>
      <c r="AN486" s="44"/>
      <c r="AO486" s="44"/>
      <c r="AP486" s="46"/>
      <c r="AQ486" s="46"/>
      <c r="AR486" s="46"/>
      <c r="AS486" s="44"/>
      <c r="AT486" s="44"/>
      <c r="AU486" s="44"/>
      <c r="AV486" s="44"/>
      <c r="AW486" s="44"/>
      <c r="AX486" s="45"/>
      <c r="AY486" s="44"/>
      <c r="AZ486" s="56"/>
      <c r="BA486" s="45"/>
    </row>
    <row r="487" customFormat="false" ht="15" hidden="false" customHeight="false" outlineLevel="0" collapsed="false">
      <c r="A487" s="44"/>
      <c r="B487" s="44"/>
      <c r="C487" s="45"/>
      <c r="D487" s="45"/>
      <c r="E487" s="44"/>
      <c r="F487" s="44"/>
      <c r="G487" s="44"/>
      <c r="H487" s="44"/>
      <c r="I487" s="44"/>
      <c r="J487" s="44"/>
      <c r="K487" s="44"/>
      <c r="L487" s="44"/>
      <c r="M487" s="44"/>
      <c r="N487" s="44"/>
      <c r="O487" s="46"/>
      <c r="P487" s="44"/>
      <c r="Q487" s="46"/>
      <c r="R487" s="44"/>
      <c r="S487" s="45"/>
      <c r="T487" s="44"/>
      <c r="U487" s="44"/>
      <c r="V487" s="47"/>
      <c r="W487" s="48" t="str">
        <f aca="false">IF(V487="","",IFERROR(V487/O487,""))</f>
        <v/>
      </c>
      <c r="X487" s="44"/>
      <c r="Y487" s="46"/>
      <c r="Z487" s="49"/>
      <c r="AA487" s="44"/>
      <c r="AB487" s="50" t="str">
        <f aca="false">IFERROR(INDEX(TABLA_IVA!$C$3:$C$6,MATCH(AA487,TABLA_IVA!$A$3:$A$6,0)),"")</f>
        <v/>
      </c>
      <c r="AC487" s="47"/>
      <c r="AD487" s="44"/>
      <c r="AE487" s="51"/>
      <c r="AF487" s="52" t="str">
        <f aca="false">IF(OR(AC487="",AE487="",AB487=""),"",IFERROR(AC487/(1-AE487)*(1+AB487),""))</f>
        <v/>
      </c>
      <c r="AG487" s="47"/>
      <c r="AH487" s="52" t="str">
        <f aca="false">IF(AD487="FIJO",IF(AG487="","",AG487),IF(AF487&lt;&gt;"",AF487,IF(AG487="","",AG487)))</f>
        <v/>
      </c>
      <c r="AI487" s="52" t="str">
        <f aca="false">IF(OR(AH487="",AB487=""),"",IFERROR(AH487/(1+AB487),""))</f>
        <v/>
      </c>
      <c r="AJ487" s="50" t="str">
        <f aca="false">IF(OR(AI487="",AC487=""),"",IFERROR((AI487-AC487)/AI487,""))</f>
        <v/>
      </c>
      <c r="AK487" s="53" t="str">
        <f aca="false">IF(OR(AJ487="",AE487=""),"",AJ487-AE487)</f>
        <v/>
      </c>
      <c r="AL487" s="54" t="str">
        <f aca="false">IF(OR(AH487="",AF487=""),"",AH487-AF487)</f>
        <v/>
      </c>
      <c r="AM487" s="55" t="str">
        <f aca="false">IF(OR(A487="",K487&lt;&gt;"SI"),"",IF(AE487="","Sin objetivo",IF(AJ487="","Faltan datos",IF(AJ487&lt;0,"PÉRDIDA",IF(AK487&lt;-UMB_CRITICO,"MUY POR DEBAJO",IF(AK487&lt;-UMB_BAJO,"POR DEBAJO",IF(AK487&lt;-UMB_AJUSTADO,"AJUSTADO",IF(AK487&lt;=UMB_ALTO,"EN OBJETIVO","POR ENCIMA"))))))))</f>
        <v/>
      </c>
      <c r="AN487" s="44"/>
      <c r="AO487" s="44"/>
      <c r="AP487" s="46"/>
      <c r="AQ487" s="46"/>
      <c r="AR487" s="46"/>
      <c r="AS487" s="44"/>
      <c r="AT487" s="44"/>
      <c r="AU487" s="44"/>
      <c r="AV487" s="44"/>
      <c r="AW487" s="44"/>
      <c r="AX487" s="45"/>
      <c r="AY487" s="44"/>
      <c r="AZ487" s="56"/>
      <c r="BA487" s="45"/>
    </row>
    <row r="488" customFormat="false" ht="15" hidden="false" customHeight="false" outlineLevel="0" collapsed="false">
      <c r="A488" s="44"/>
      <c r="B488" s="44"/>
      <c r="C488" s="45"/>
      <c r="D488" s="45"/>
      <c r="E488" s="44"/>
      <c r="F488" s="44"/>
      <c r="G488" s="44"/>
      <c r="H488" s="44"/>
      <c r="I488" s="44"/>
      <c r="J488" s="44"/>
      <c r="K488" s="44"/>
      <c r="L488" s="44"/>
      <c r="M488" s="44"/>
      <c r="N488" s="44"/>
      <c r="O488" s="46"/>
      <c r="P488" s="44"/>
      <c r="Q488" s="46"/>
      <c r="R488" s="44"/>
      <c r="S488" s="45"/>
      <c r="T488" s="44"/>
      <c r="U488" s="44"/>
      <c r="V488" s="47"/>
      <c r="W488" s="48" t="str">
        <f aca="false">IF(V488="","",IFERROR(V488/O488,""))</f>
        <v/>
      </c>
      <c r="X488" s="44"/>
      <c r="Y488" s="46"/>
      <c r="Z488" s="49"/>
      <c r="AA488" s="44"/>
      <c r="AB488" s="50" t="str">
        <f aca="false">IFERROR(INDEX(TABLA_IVA!$C$3:$C$6,MATCH(AA488,TABLA_IVA!$A$3:$A$6,0)),"")</f>
        <v/>
      </c>
      <c r="AC488" s="47"/>
      <c r="AD488" s="44"/>
      <c r="AE488" s="51"/>
      <c r="AF488" s="52" t="str">
        <f aca="false">IF(OR(AC488="",AE488="",AB488=""),"",IFERROR(AC488/(1-AE488)*(1+AB488),""))</f>
        <v/>
      </c>
      <c r="AG488" s="47"/>
      <c r="AH488" s="52" t="str">
        <f aca="false">IF(AD488="FIJO",IF(AG488="","",AG488),IF(AF488&lt;&gt;"",AF488,IF(AG488="","",AG488)))</f>
        <v/>
      </c>
      <c r="AI488" s="52" t="str">
        <f aca="false">IF(OR(AH488="",AB488=""),"",IFERROR(AH488/(1+AB488),""))</f>
        <v/>
      </c>
      <c r="AJ488" s="50" t="str">
        <f aca="false">IF(OR(AI488="",AC488=""),"",IFERROR((AI488-AC488)/AI488,""))</f>
        <v/>
      </c>
      <c r="AK488" s="53" t="str">
        <f aca="false">IF(OR(AJ488="",AE488=""),"",AJ488-AE488)</f>
        <v/>
      </c>
      <c r="AL488" s="54" t="str">
        <f aca="false">IF(OR(AH488="",AF488=""),"",AH488-AF488)</f>
        <v/>
      </c>
      <c r="AM488" s="55" t="str">
        <f aca="false">IF(OR(A488="",K488&lt;&gt;"SI"),"",IF(AE488="","Sin objetivo",IF(AJ488="","Faltan datos",IF(AJ488&lt;0,"PÉRDIDA",IF(AK488&lt;-UMB_CRITICO,"MUY POR DEBAJO",IF(AK488&lt;-UMB_BAJO,"POR DEBAJO",IF(AK488&lt;-UMB_AJUSTADO,"AJUSTADO",IF(AK488&lt;=UMB_ALTO,"EN OBJETIVO","POR ENCIMA"))))))))</f>
        <v/>
      </c>
      <c r="AN488" s="44"/>
      <c r="AO488" s="44"/>
      <c r="AP488" s="46"/>
      <c r="AQ488" s="46"/>
      <c r="AR488" s="46"/>
      <c r="AS488" s="44"/>
      <c r="AT488" s="44"/>
      <c r="AU488" s="44"/>
      <c r="AV488" s="44"/>
      <c r="AW488" s="44"/>
      <c r="AX488" s="45"/>
      <c r="AY488" s="44"/>
      <c r="AZ488" s="56"/>
      <c r="BA488" s="45"/>
    </row>
    <row r="489" customFormat="false" ht="15" hidden="false" customHeight="false" outlineLevel="0" collapsed="false">
      <c r="A489" s="44"/>
      <c r="B489" s="44"/>
      <c r="C489" s="45"/>
      <c r="D489" s="45"/>
      <c r="E489" s="44"/>
      <c r="F489" s="44"/>
      <c r="G489" s="44"/>
      <c r="H489" s="44"/>
      <c r="I489" s="44"/>
      <c r="J489" s="44"/>
      <c r="K489" s="44"/>
      <c r="L489" s="44"/>
      <c r="M489" s="44"/>
      <c r="N489" s="44"/>
      <c r="O489" s="46"/>
      <c r="P489" s="44"/>
      <c r="Q489" s="46"/>
      <c r="R489" s="44"/>
      <c r="S489" s="45"/>
      <c r="T489" s="44"/>
      <c r="U489" s="44"/>
      <c r="V489" s="47"/>
      <c r="W489" s="48" t="str">
        <f aca="false">IF(V489="","",IFERROR(V489/O489,""))</f>
        <v/>
      </c>
      <c r="X489" s="44"/>
      <c r="Y489" s="46"/>
      <c r="Z489" s="49"/>
      <c r="AA489" s="44"/>
      <c r="AB489" s="50" t="str">
        <f aca="false">IFERROR(INDEX(TABLA_IVA!$C$3:$C$6,MATCH(AA489,TABLA_IVA!$A$3:$A$6,0)),"")</f>
        <v/>
      </c>
      <c r="AC489" s="47"/>
      <c r="AD489" s="44"/>
      <c r="AE489" s="51"/>
      <c r="AF489" s="52" t="str">
        <f aca="false">IF(OR(AC489="",AE489="",AB489=""),"",IFERROR(AC489/(1-AE489)*(1+AB489),""))</f>
        <v/>
      </c>
      <c r="AG489" s="47"/>
      <c r="AH489" s="52" t="str">
        <f aca="false">IF(AD489="FIJO",IF(AG489="","",AG489),IF(AF489&lt;&gt;"",AF489,IF(AG489="","",AG489)))</f>
        <v/>
      </c>
      <c r="AI489" s="52" t="str">
        <f aca="false">IF(OR(AH489="",AB489=""),"",IFERROR(AH489/(1+AB489),""))</f>
        <v/>
      </c>
      <c r="AJ489" s="50" t="str">
        <f aca="false">IF(OR(AI489="",AC489=""),"",IFERROR((AI489-AC489)/AI489,""))</f>
        <v/>
      </c>
      <c r="AK489" s="53" t="str">
        <f aca="false">IF(OR(AJ489="",AE489=""),"",AJ489-AE489)</f>
        <v/>
      </c>
      <c r="AL489" s="54" t="str">
        <f aca="false">IF(OR(AH489="",AF489=""),"",AH489-AF489)</f>
        <v/>
      </c>
      <c r="AM489" s="55" t="str">
        <f aca="false">IF(OR(A489="",K489&lt;&gt;"SI"),"",IF(AE489="","Sin objetivo",IF(AJ489="","Faltan datos",IF(AJ489&lt;0,"PÉRDIDA",IF(AK489&lt;-UMB_CRITICO,"MUY POR DEBAJO",IF(AK489&lt;-UMB_BAJO,"POR DEBAJO",IF(AK489&lt;-UMB_AJUSTADO,"AJUSTADO",IF(AK489&lt;=UMB_ALTO,"EN OBJETIVO","POR ENCIMA"))))))))</f>
        <v/>
      </c>
      <c r="AN489" s="44"/>
      <c r="AO489" s="44"/>
      <c r="AP489" s="46"/>
      <c r="AQ489" s="46"/>
      <c r="AR489" s="46"/>
      <c r="AS489" s="44"/>
      <c r="AT489" s="44"/>
      <c r="AU489" s="44"/>
      <c r="AV489" s="44"/>
      <c r="AW489" s="44"/>
      <c r="AX489" s="45"/>
      <c r="AY489" s="44"/>
      <c r="AZ489" s="56"/>
      <c r="BA489" s="45"/>
    </row>
    <row r="490" customFormat="false" ht="15" hidden="false" customHeight="false" outlineLevel="0" collapsed="false">
      <c r="A490" s="44"/>
      <c r="B490" s="44"/>
      <c r="C490" s="45"/>
      <c r="D490" s="45"/>
      <c r="E490" s="44"/>
      <c r="F490" s="44"/>
      <c r="G490" s="44"/>
      <c r="H490" s="44"/>
      <c r="I490" s="44"/>
      <c r="J490" s="44"/>
      <c r="K490" s="44"/>
      <c r="L490" s="44"/>
      <c r="M490" s="44"/>
      <c r="N490" s="44"/>
      <c r="O490" s="46"/>
      <c r="P490" s="44"/>
      <c r="Q490" s="46"/>
      <c r="R490" s="44"/>
      <c r="S490" s="45"/>
      <c r="T490" s="44"/>
      <c r="U490" s="44"/>
      <c r="V490" s="47"/>
      <c r="W490" s="48" t="str">
        <f aca="false">IF(V490="","",IFERROR(V490/O490,""))</f>
        <v/>
      </c>
      <c r="X490" s="44"/>
      <c r="Y490" s="46"/>
      <c r="Z490" s="49"/>
      <c r="AA490" s="44"/>
      <c r="AB490" s="50" t="str">
        <f aca="false">IFERROR(INDEX(TABLA_IVA!$C$3:$C$6,MATCH(AA490,TABLA_IVA!$A$3:$A$6,0)),"")</f>
        <v/>
      </c>
      <c r="AC490" s="47"/>
      <c r="AD490" s="44"/>
      <c r="AE490" s="51"/>
      <c r="AF490" s="52" t="str">
        <f aca="false">IF(OR(AC490="",AE490="",AB490=""),"",IFERROR(AC490/(1-AE490)*(1+AB490),""))</f>
        <v/>
      </c>
      <c r="AG490" s="47"/>
      <c r="AH490" s="52" t="str">
        <f aca="false">IF(AD490="FIJO",IF(AG490="","",AG490),IF(AF490&lt;&gt;"",AF490,IF(AG490="","",AG490)))</f>
        <v/>
      </c>
      <c r="AI490" s="52" t="str">
        <f aca="false">IF(OR(AH490="",AB490=""),"",IFERROR(AH490/(1+AB490),""))</f>
        <v/>
      </c>
      <c r="AJ490" s="50" t="str">
        <f aca="false">IF(OR(AI490="",AC490=""),"",IFERROR((AI490-AC490)/AI490,""))</f>
        <v/>
      </c>
      <c r="AK490" s="53" t="str">
        <f aca="false">IF(OR(AJ490="",AE490=""),"",AJ490-AE490)</f>
        <v/>
      </c>
      <c r="AL490" s="54" t="str">
        <f aca="false">IF(OR(AH490="",AF490=""),"",AH490-AF490)</f>
        <v/>
      </c>
      <c r="AM490" s="55" t="str">
        <f aca="false">IF(OR(A490="",K490&lt;&gt;"SI"),"",IF(AE490="","Sin objetivo",IF(AJ490="","Faltan datos",IF(AJ490&lt;0,"PÉRDIDA",IF(AK490&lt;-UMB_CRITICO,"MUY POR DEBAJO",IF(AK490&lt;-UMB_BAJO,"POR DEBAJO",IF(AK490&lt;-UMB_AJUSTADO,"AJUSTADO",IF(AK490&lt;=UMB_ALTO,"EN OBJETIVO","POR ENCIMA"))))))))</f>
        <v/>
      </c>
      <c r="AN490" s="44"/>
      <c r="AO490" s="44"/>
      <c r="AP490" s="46"/>
      <c r="AQ490" s="46"/>
      <c r="AR490" s="46"/>
      <c r="AS490" s="44"/>
      <c r="AT490" s="44"/>
      <c r="AU490" s="44"/>
      <c r="AV490" s="44"/>
      <c r="AW490" s="44"/>
      <c r="AX490" s="45"/>
      <c r="AY490" s="44"/>
      <c r="AZ490" s="56"/>
      <c r="BA490" s="45"/>
    </row>
    <row r="491" customFormat="false" ht="15" hidden="false" customHeight="false" outlineLevel="0" collapsed="false">
      <c r="A491" s="44"/>
      <c r="B491" s="44"/>
      <c r="C491" s="45"/>
      <c r="D491" s="45"/>
      <c r="E491" s="44"/>
      <c r="F491" s="44"/>
      <c r="G491" s="44"/>
      <c r="H491" s="44"/>
      <c r="I491" s="44"/>
      <c r="J491" s="44"/>
      <c r="K491" s="44"/>
      <c r="L491" s="44"/>
      <c r="M491" s="44"/>
      <c r="N491" s="44"/>
      <c r="O491" s="46"/>
      <c r="P491" s="44"/>
      <c r="Q491" s="46"/>
      <c r="R491" s="44"/>
      <c r="S491" s="45"/>
      <c r="T491" s="44"/>
      <c r="U491" s="44"/>
      <c r="V491" s="47"/>
      <c r="W491" s="48" t="str">
        <f aca="false">IF(V491="","",IFERROR(V491/O491,""))</f>
        <v/>
      </c>
      <c r="X491" s="44"/>
      <c r="Y491" s="46"/>
      <c r="Z491" s="49"/>
      <c r="AA491" s="44"/>
      <c r="AB491" s="50" t="str">
        <f aca="false">IFERROR(INDEX(TABLA_IVA!$C$3:$C$6,MATCH(AA491,TABLA_IVA!$A$3:$A$6,0)),"")</f>
        <v/>
      </c>
      <c r="AC491" s="47"/>
      <c r="AD491" s="44"/>
      <c r="AE491" s="51"/>
      <c r="AF491" s="52" t="str">
        <f aca="false">IF(OR(AC491="",AE491="",AB491=""),"",IFERROR(AC491/(1-AE491)*(1+AB491),""))</f>
        <v/>
      </c>
      <c r="AG491" s="47"/>
      <c r="AH491" s="52" t="str">
        <f aca="false">IF(AD491="FIJO",IF(AG491="","",AG491),IF(AF491&lt;&gt;"",AF491,IF(AG491="","",AG491)))</f>
        <v/>
      </c>
      <c r="AI491" s="52" t="str">
        <f aca="false">IF(OR(AH491="",AB491=""),"",IFERROR(AH491/(1+AB491),""))</f>
        <v/>
      </c>
      <c r="AJ491" s="50" t="str">
        <f aca="false">IF(OR(AI491="",AC491=""),"",IFERROR((AI491-AC491)/AI491,""))</f>
        <v/>
      </c>
      <c r="AK491" s="53" t="str">
        <f aca="false">IF(OR(AJ491="",AE491=""),"",AJ491-AE491)</f>
        <v/>
      </c>
      <c r="AL491" s="54" t="str">
        <f aca="false">IF(OR(AH491="",AF491=""),"",AH491-AF491)</f>
        <v/>
      </c>
      <c r="AM491" s="55" t="str">
        <f aca="false">IF(OR(A491="",K491&lt;&gt;"SI"),"",IF(AE491="","Sin objetivo",IF(AJ491="","Faltan datos",IF(AJ491&lt;0,"PÉRDIDA",IF(AK491&lt;-UMB_CRITICO,"MUY POR DEBAJO",IF(AK491&lt;-UMB_BAJO,"POR DEBAJO",IF(AK491&lt;-UMB_AJUSTADO,"AJUSTADO",IF(AK491&lt;=UMB_ALTO,"EN OBJETIVO","POR ENCIMA"))))))))</f>
        <v/>
      </c>
      <c r="AN491" s="44"/>
      <c r="AO491" s="44"/>
      <c r="AP491" s="46"/>
      <c r="AQ491" s="46"/>
      <c r="AR491" s="46"/>
      <c r="AS491" s="44"/>
      <c r="AT491" s="44"/>
      <c r="AU491" s="44"/>
      <c r="AV491" s="44"/>
      <c r="AW491" s="44"/>
      <c r="AX491" s="45"/>
      <c r="AY491" s="44"/>
      <c r="AZ491" s="56"/>
      <c r="BA491" s="45"/>
    </row>
    <row r="492" customFormat="false" ht="15" hidden="false" customHeight="false" outlineLevel="0" collapsed="false">
      <c r="A492" s="44"/>
      <c r="B492" s="44"/>
      <c r="C492" s="45"/>
      <c r="D492" s="45"/>
      <c r="E492" s="44"/>
      <c r="F492" s="44"/>
      <c r="G492" s="44"/>
      <c r="H492" s="44"/>
      <c r="I492" s="44"/>
      <c r="J492" s="44"/>
      <c r="K492" s="44"/>
      <c r="L492" s="44"/>
      <c r="M492" s="44"/>
      <c r="N492" s="44"/>
      <c r="O492" s="46"/>
      <c r="P492" s="44"/>
      <c r="Q492" s="46"/>
      <c r="R492" s="44"/>
      <c r="S492" s="45"/>
      <c r="T492" s="44"/>
      <c r="U492" s="44"/>
      <c r="V492" s="47"/>
      <c r="W492" s="48" t="str">
        <f aca="false">IF(V492="","",IFERROR(V492/O492,""))</f>
        <v/>
      </c>
      <c r="X492" s="44"/>
      <c r="Y492" s="46"/>
      <c r="Z492" s="49"/>
      <c r="AA492" s="44"/>
      <c r="AB492" s="50" t="str">
        <f aca="false">IFERROR(INDEX(TABLA_IVA!$C$3:$C$6,MATCH(AA492,TABLA_IVA!$A$3:$A$6,0)),"")</f>
        <v/>
      </c>
      <c r="AC492" s="47"/>
      <c r="AD492" s="44"/>
      <c r="AE492" s="51"/>
      <c r="AF492" s="52" t="str">
        <f aca="false">IF(OR(AC492="",AE492="",AB492=""),"",IFERROR(AC492/(1-AE492)*(1+AB492),""))</f>
        <v/>
      </c>
      <c r="AG492" s="47"/>
      <c r="AH492" s="52" t="str">
        <f aca="false">IF(AD492="FIJO",IF(AG492="","",AG492),IF(AF492&lt;&gt;"",AF492,IF(AG492="","",AG492)))</f>
        <v/>
      </c>
      <c r="AI492" s="52" t="str">
        <f aca="false">IF(OR(AH492="",AB492=""),"",IFERROR(AH492/(1+AB492),""))</f>
        <v/>
      </c>
      <c r="AJ492" s="50" t="str">
        <f aca="false">IF(OR(AI492="",AC492=""),"",IFERROR((AI492-AC492)/AI492,""))</f>
        <v/>
      </c>
      <c r="AK492" s="53" t="str">
        <f aca="false">IF(OR(AJ492="",AE492=""),"",AJ492-AE492)</f>
        <v/>
      </c>
      <c r="AL492" s="54" t="str">
        <f aca="false">IF(OR(AH492="",AF492=""),"",AH492-AF492)</f>
        <v/>
      </c>
      <c r="AM492" s="55" t="str">
        <f aca="false">IF(OR(A492="",K492&lt;&gt;"SI"),"",IF(AE492="","Sin objetivo",IF(AJ492="","Faltan datos",IF(AJ492&lt;0,"PÉRDIDA",IF(AK492&lt;-UMB_CRITICO,"MUY POR DEBAJO",IF(AK492&lt;-UMB_BAJO,"POR DEBAJO",IF(AK492&lt;-UMB_AJUSTADO,"AJUSTADO",IF(AK492&lt;=UMB_ALTO,"EN OBJETIVO","POR ENCIMA"))))))))</f>
        <v/>
      </c>
      <c r="AN492" s="44"/>
      <c r="AO492" s="44"/>
      <c r="AP492" s="46"/>
      <c r="AQ492" s="46"/>
      <c r="AR492" s="46"/>
      <c r="AS492" s="44"/>
      <c r="AT492" s="44"/>
      <c r="AU492" s="44"/>
      <c r="AV492" s="44"/>
      <c r="AW492" s="44"/>
      <c r="AX492" s="45"/>
      <c r="AY492" s="44"/>
      <c r="AZ492" s="56"/>
      <c r="BA492" s="45"/>
    </row>
    <row r="493" customFormat="false" ht="15" hidden="false" customHeight="false" outlineLevel="0" collapsed="false">
      <c r="A493" s="44"/>
      <c r="B493" s="44"/>
      <c r="C493" s="45"/>
      <c r="D493" s="45"/>
      <c r="E493" s="44"/>
      <c r="F493" s="44"/>
      <c r="G493" s="44"/>
      <c r="H493" s="44"/>
      <c r="I493" s="44"/>
      <c r="J493" s="44"/>
      <c r="K493" s="44"/>
      <c r="L493" s="44"/>
      <c r="M493" s="44"/>
      <c r="N493" s="44"/>
      <c r="O493" s="46"/>
      <c r="P493" s="44"/>
      <c r="Q493" s="46"/>
      <c r="R493" s="44"/>
      <c r="S493" s="45"/>
      <c r="T493" s="44"/>
      <c r="U493" s="44"/>
      <c r="V493" s="47"/>
      <c r="W493" s="48" t="str">
        <f aca="false">IF(V493="","",IFERROR(V493/O493,""))</f>
        <v/>
      </c>
      <c r="X493" s="44"/>
      <c r="Y493" s="46"/>
      <c r="Z493" s="49"/>
      <c r="AA493" s="44"/>
      <c r="AB493" s="50" t="str">
        <f aca="false">IFERROR(INDEX(TABLA_IVA!$C$3:$C$6,MATCH(AA493,TABLA_IVA!$A$3:$A$6,0)),"")</f>
        <v/>
      </c>
      <c r="AC493" s="47"/>
      <c r="AD493" s="44"/>
      <c r="AE493" s="51"/>
      <c r="AF493" s="52" t="str">
        <f aca="false">IF(OR(AC493="",AE493="",AB493=""),"",IFERROR(AC493/(1-AE493)*(1+AB493),""))</f>
        <v/>
      </c>
      <c r="AG493" s="47"/>
      <c r="AH493" s="52" t="str">
        <f aca="false">IF(AD493="FIJO",IF(AG493="","",AG493),IF(AF493&lt;&gt;"",AF493,IF(AG493="","",AG493)))</f>
        <v/>
      </c>
      <c r="AI493" s="52" t="str">
        <f aca="false">IF(OR(AH493="",AB493=""),"",IFERROR(AH493/(1+AB493),""))</f>
        <v/>
      </c>
      <c r="AJ493" s="50" t="str">
        <f aca="false">IF(OR(AI493="",AC493=""),"",IFERROR((AI493-AC493)/AI493,""))</f>
        <v/>
      </c>
      <c r="AK493" s="53" t="str">
        <f aca="false">IF(OR(AJ493="",AE493=""),"",AJ493-AE493)</f>
        <v/>
      </c>
      <c r="AL493" s="54" t="str">
        <f aca="false">IF(OR(AH493="",AF493=""),"",AH493-AF493)</f>
        <v/>
      </c>
      <c r="AM493" s="55" t="str">
        <f aca="false">IF(OR(A493="",K493&lt;&gt;"SI"),"",IF(AE493="","Sin objetivo",IF(AJ493="","Faltan datos",IF(AJ493&lt;0,"PÉRDIDA",IF(AK493&lt;-UMB_CRITICO,"MUY POR DEBAJO",IF(AK493&lt;-UMB_BAJO,"POR DEBAJO",IF(AK493&lt;-UMB_AJUSTADO,"AJUSTADO",IF(AK493&lt;=UMB_ALTO,"EN OBJETIVO","POR ENCIMA"))))))))</f>
        <v/>
      </c>
      <c r="AN493" s="44"/>
      <c r="AO493" s="44"/>
      <c r="AP493" s="46"/>
      <c r="AQ493" s="46"/>
      <c r="AR493" s="46"/>
      <c r="AS493" s="44"/>
      <c r="AT493" s="44"/>
      <c r="AU493" s="44"/>
      <c r="AV493" s="44"/>
      <c r="AW493" s="44"/>
      <c r="AX493" s="45"/>
      <c r="AY493" s="44"/>
      <c r="AZ493" s="56"/>
      <c r="BA493" s="45"/>
    </row>
    <row r="494" customFormat="false" ht="15" hidden="false" customHeight="false" outlineLevel="0" collapsed="false">
      <c r="A494" s="44"/>
      <c r="B494" s="44"/>
      <c r="C494" s="45"/>
      <c r="D494" s="45"/>
      <c r="E494" s="44"/>
      <c r="F494" s="44"/>
      <c r="G494" s="44"/>
      <c r="H494" s="44"/>
      <c r="I494" s="44"/>
      <c r="J494" s="44"/>
      <c r="K494" s="44"/>
      <c r="L494" s="44"/>
      <c r="M494" s="44"/>
      <c r="N494" s="44"/>
      <c r="O494" s="46"/>
      <c r="P494" s="44"/>
      <c r="Q494" s="46"/>
      <c r="R494" s="44"/>
      <c r="S494" s="45"/>
      <c r="T494" s="44"/>
      <c r="U494" s="44"/>
      <c r="V494" s="47"/>
      <c r="W494" s="48" t="str">
        <f aca="false">IF(V494="","",IFERROR(V494/O494,""))</f>
        <v/>
      </c>
      <c r="X494" s="44"/>
      <c r="Y494" s="46"/>
      <c r="Z494" s="49"/>
      <c r="AA494" s="44"/>
      <c r="AB494" s="50" t="str">
        <f aca="false">IFERROR(INDEX(TABLA_IVA!$C$3:$C$6,MATCH(AA494,TABLA_IVA!$A$3:$A$6,0)),"")</f>
        <v/>
      </c>
      <c r="AC494" s="47"/>
      <c r="AD494" s="44"/>
      <c r="AE494" s="51"/>
      <c r="AF494" s="52" t="str">
        <f aca="false">IF(OR(AC494="",AE494="",AB494=""),"",IFERROR(AC494/(1-AE494)*(1+AB494),""))</f>
        <v/>
      </c>
      <c r="AG494" s="47"/>
      <c r="AH494" s="52" t="str">
        <f aca="false">IF(AD494="FIJO",IF(AG494="","",AG494),IF(AF494&lt;&gt;"",AF494,IF(AG494="","",AG494)))</f>
        <v/>
      </c>
      <c r="AI494" s="52" t="str">
        <f aca="false">IF(OR(AH494="",AB494=""),"",IFERROR(AH494/(1+AB494),""))</f>
        <v/>
      </c>
      <c r="AJ494" s="50" t="str">
        <f aca="false">IF(OR(AI494="",AC494=""),"",IFERROR((AI494-AC494)/AI494,""))</f>
        <v/>
      </c>
      <c r="AK494" s="53" t="str">
        <f aca="false">IF(OR(AJ494="",AE494=""),"",AJ494-AE494)</f>
        <v/>
      </c>
      <c r="AL494" s="54" t="str">
        <f aca="false">IF(OR(AH494="",AF494=""),"",AH494-AF494)</f>
        <v/>
      </c>
      <c r="AM494" s="55" t="str">
        <f aca="false">IF(OR(A494="",K494&lt;&gt;"SI"),"",IF(AE494="","Sin objetivo",IF(AJ494="","Faltan datos",IF(AJ494&lt;0,"PÉRDIDA",IF(AK494&lt;-UMB_CRITICO,"MUY POR DEBAJO",IF(AK494&lt;-UMB_BAJO,"POR DEBAJO",IF(AK494&lt;-UMB_AJUSTADO,"AJUSTADO",IF(AK494&lt;=UMB_ALTO,"EN OBJETIVO","POR ENCIMA"))))))))</f>
        <v/>
      </c>
      <c r="AN494" s="44"/>
      <c r="AO494" s="44"/>
      <c r="AP494" s="46"/>
      <c r="AQ494" s="46"/>
      <c r="AR494" s="46"/>
      <c r="AS494" s="44"/>
      <c r="AT494" s="44"/>
      <c r="AU494" s="44"/>
      <c r="AV494" s="44"/>
      <c r="AW494" s="44"/>
      <c r="AX494" s="45"/>
      <c r="AY494" s="44"/>
      <c r="AZ494" s="56"/>
      <c r="BA494" s="45"/>
    </row>
    <row r="495" customFormat="false" ht="15" hidden="false" customHeight="false" outlineLevel="0" collapsed="false">
      <c r="A495" s="44"/>
      <c r="B495" s="44"/>
      <c r="C495" s="45"/>
      <c r="D495" s="45"/>
      <c r="E495" s="44"/>
      <c r="F495" s="44"/>
      <c r="G495" s="44"/>
      <c r="H495" s="44"/>
      <c r="I495" s="44"/>
      <c r="J495" s="44"/>
      <c r="K495" s="44"/>
      <c r="L495" s="44"/>
      <c r="M495" s="44"/>
      <c r="N495" s="44"/>
      <c r="O495" s="46"/>
      <c r="P495" s="44"/>
      <c r="Q495" s="46"/>
      <c r="R495" s="44"/>
      <c r="S495" s="45"/>
      <c r="T495" s="44"/>
      <c r="U495" s="44"/>
      <c r="V495" s="47"/>
      <c r="W495" s="48" t="str">
        <f aca="false">IF(V495="","",IFERROR(V495/O495,""))</f>
        <v/>
      </c>
      <c r="X495" s="44"/>
      <c r="Y495" s="46"/>
      <c r="Z495" s="49"/>
      <c r="AA495" s="44"/>
      <c r="AB495" s="50" t="str">
        <f aca="false">IFERROR(INDEX(TABLA_IVA!$C$3:$C$6,MATCH(AA495,TABLA_IVA!$A$3:$A$6,0)),"")</f>
        <v/>
      </c>
      <c r="AC495" s="47"/>
      <c r="AD495" s="44"/>
      <c r="AE495" s="51"/>
      <c r="AF495" s="52" t="str">
        <f aca="false">IF(OR(AC495="",AE495="",AB495=""),"",IFERROR(AC495/(1-AE495)*(1+AB495),""))</f>
        <v/>
      </c>
      <c r="AG495" s="47"/>
      <c r="AH495" s="52" t="str">
        <f aca="false">IF(AD495="FIJO",IF(AG495="","",AG495),IF(AF495&lt;&gt;"",AF495,IF(AG495="","",AG495)))</f>
        <v/>
      </c>
      <c r="AI495" s="52" t="str">
        <f aca="false">IF(OR(AH495="",AB495=""),"",IFERROR(AH495/(1+AB495),""))</f>
        <v/>
      </c>
      <c r="AJ495" s="50" t="str">
        <f aca="false">IF(OR(AI495="",AC495=""),"",IFERROR((AI495-AC495)/AI495,""))</f>
        <v/>
      </c>
      <c r="AK495" s="53" t="str">
        <f aca="false">IF(OR(AJ495="",AE495=""),"",AJ495-AE495)</f>
        <v/>
      </c>
      <c r="AL495" s="54" t="str">
        <f aca="false">IF(OR(AH495="",AF495=""),"",AH495-AF495)</f>
        <v/>
      </c>
      <c r="AM495" s="55" t="str">
        <f aca="false">IF(OR(A495="",K495&lt;&gt;"SI"),"",IF(AE495="","Sin objetivo",IF(AJ495="","Faltan datos",IF(AJ495&lt;0,"PÉRDIDA",IF(AK495&lt;-UMB_CRITICO,"MUY POR DEBAJO",IF(AK495&lt;-UMB_BAJO,"POR DEBAJO",IF(AK495&lt;-UMB_AJUSTADO,"AJUSTADO",IF(AK495&lt;=UMB_ALTO,"EN OBJETIVO","POR ENCIMA"))))))))</f>
        <v/>
      </c>
      <c r="AN495" s="44"/>
      <c r="AO495" s="44"/>
      <c r="AP495" s="46"/>
      <c r="AQ495" s="46"/>
      <c r="AR495" s="46"/>
      <c r="AS495" s="44"/>
      <c r="AT495" s="44"/>
      <c r="AU495" s="44"/>
      <c r="AV495" s="44"/>
      <c r="AW495" s="44"/>
      <c r="AX495" s="45"/>
      <c r="AY495" s="44"/>
      <c r="AZ495" s="56"/>
      <c r="BA495" s="45"/>
    </row>
    <row r="496" customFormat="false" ht="15" hidden="false" customHeight="false" outlineLevel="0" collapsed="false">
      <c r="A496" s="44"/>
      <c r="B496" s="44"/>
      <c r="C496" s="45"/>
      <c r="D496" s="45"/>
      <c r="E496" s="44"/>
      <c r="F496" s="44"/>
      <c r="G496" s="44"/>
      <c r="H496" s="44"/>
      <c r="I496" s="44"/>
      <c r="J496" s="44"/>
      <c r="K496" s="44"/>
      <c r="L496" s="44"/>
      <c r="M496" s="44"/>
      <c r="N496" s="44"/>
      <c r="O496" s="46"/>
      <c r="P496" s="44"/>
      <c r="Q496" s="46"/>
      <c r="R496" s="44"/>
      <c r="S496" s="45"/>
      <c r="T496" s="44"/>
      <c r="U496" s="44"/>
      <c r="V496" s="47"/>
      <c r="W496" s="48" t="str">
        <f aca="false">IF(V496="","",IFERROR(V496/O496,""))</f>
        <v/>
      </c>
      <c r="X496" s="44"/>
      <c r="Y496" s="46"/>
      <c r="Z496" s="49"/>
      <c r="AA496" s="44"/>
      <c r="AB496" s="50" t="str">
        <f aca="false">IFERROR(INDEX(TABLA_IVA!$C$3:$C$6,MATCH(AA496,TABLA_IVA!$A$3:$A$6,0)),"")</f>
        <v/>
      </c>
      <c r="AC496" s="47"/>
      <c r="AD496" s="44"/>
      <c r="AE496" s="51"/>
      <c r="AF496" s="52" t="str">
        <f aca="false">IF(OR(AC496="",AE496="",AB496=""),"",IFERROR(AC496/(1-AE496)*(1+AB496),""))</f>
        <v/>
      </c>
      <c r="AG496" s="47"/>
      <c r="AH496" s="52" t="str">
        <f aca="false">IF(AD496="FIJO",IF(AG496="","",AG496),IF(AF496&lt;&gt;"",AF496,IF(AG496="","",AG496)))</f>
        <v/>
      </c>
      <c r="AI496" s="52" t="str">
        <f aca="false">IF(OR(AH496="",AB496=""),"",IFERROR(AH496/(1+AB496),""))</f>
        <v/>
      </c>
      <c r="AJ496" s="50" t="str">
        <f aca="false">IF(OR(AI496="",AC496=""),"",IFERROR((AI496-AC496)/AI496,""))</f>
        <v/>
      </c>
      <c r="AK496" s="53" t="str">
        <f aca="false">IF(OR(AJ496="",AE496=""),"",AJ496-AE496)</f>
        <v/>
      </c>
      <c r="AL496" s="54" t="str">
        <f aca="false">IF(OR(AH496="",AF496=""),"",AH496-AF496)</f>
        <v/>
      </c>
      <c r="AM496" s="55" t="str">
        <f aca="false">IF(OR(A496="",K496&lt;&gt;"SI"),"",IF(AE496="","Sin objetivo",IF(AJ496="","Faltan datos",IF(AJ496&lt;0,"PÉRDIDA",IF(AK496&lt;-UMB_CRITICO,"MUY POR DEBAJO",IF(AK496&lt;-UMB_BAJO,"POR DEBAJO",IF(AK496&lt;-UMB_AJUSTADO,"AJUSTADO",IF(AK496&lt;=UMB_ALTO,"EN OBJETIVO","POR ENCIMA"))))))))</f>
        <v/>
      </c>
      <c r="AN496" s="44"/>
      <c r="AO496" s="44"/>
      <c r="AP496" s="46"/>
      <c r="AQ496" s="46"/>
      <c r="AR496" s="46"/>
      <c r="AS496" s="44"/>
      <c r="AT496" s="44"/>
      <c r="AU496" s="44"/>
      <c r="AV496" s="44"/>
      <c r="AW496" s="44"/>
      <c r="AX496" s="45"/>
      <c r="AY496" s="44"/>
      <c r="AZ496" s="56"/>
      <c r="BA496" s="45"/>
    </row>
    <row r="497" customFormat="false" ht="15" hidden="false" customHeight="false" outlineLevel="0" collapsed="false">
      <c r="A497" s="44"/>
      <c r="B497" s="44"/>
      <c r="C497" s="45"/>
      <c r="D497" s="45"/>
      <c r="E497" s="44"/>
      <c r="F497" s="44"/>
      <c r="G497" s="44"/>
      <c r="H497" s="44"/>
      <c r="I497" s="44"/>
      <c r="J497" s="44"/>
      <c r="K497" s="44"/>
      <c r="L497" s="44"/>
      <c r="M497" s="44"/>
      <c r="N497" s="44"/>
      <c r="O497" s="46"/>
      <c r="P497" s="44"/>
      <c r="Q497" s="46"/>
      <c r="R497" s="44"/>
      <c r="S497" s="45"/>
      <c r="T497" s="44"/>
      <c r="U497" s="44"/>
      <c r="V497" s="47"/>
      <c r="W497" s="48" t="str">
        <f aca="false">IF(V497="","",IFERROR(V497/O497,""))</f>
        <v/>
      </c>
      <c r="X497" s="44"/>
      <c r="Y497" s="46"/>
      <c r="Z497" s="49"/>
      <c r="AA497" s="44"/>
      <c r="AB497" s="50" t="str">
        <f aca="false">IFERROR(INDEX(TABLA_IVA!$C$3:$C$6,MATCH(AA497,TABLA_IVA!$A$3:$A$6,0)),"")</f>
        <v/>
      </c>
      <c r="AC497" s="47"/>
      <c r="AD497" s="44"/>
      <c r="AE497" s="51"/>
      <c r="AF497" s="52" t="str">
        <f aca="false">IF(OR(AC497="",AE497="",AB497=""),"",IFERROR(AC497/(1-AE497)*(1+AB497),""))</f>
        <v/>
      </c>
      <c r="AG497" s="47"/>
      <c r="AH497" s="52" t="str">
        <f aca="false">IF(AD497="FIJO",IF(AG497="","",AG497),IF(AF497&lt;&gt;"",AF497,IF(AG497="","",AG497)))</f>
        <v/>
      </c>
      <c r="AI497" s="52" t="str">
        <f aca="false">IF(OR(AH497="",AB497=""),"",IFERROR(AH497/(1+AB497),""))</f>
        <v/>
      </c>
      <c r="AJ497" s="50" t="str">
        <f aca="false">IF(OR(AI497="",AC497=""),"",IFERROR((AI497-AC497)/AI497,""))</f>
        <v/>
      </c>
      <c r="AK497" s="53" t="str">
        <f aca="false">IF(OR(AJ497="",AE497=""),"",AJ497-AE497)</f>
        <v/>
      </c>
      <c r="AL497" s="54" t="str">
        <f aca="false">IF(OR(AH497="",AF497=""),"",AH497-AF497)</f>
        <v/>
      </c>
      <c r="AM497" s="55" t="str">
        <f aca="false">IF(OR(A497="",K497&lt;&gt;"SI"),"",IF(AE497="","Sin objetivo",IF(AJ497="","Faltan datos",IF(AJ497&lt;0,"PÉRDIDA",IF(AK497&lt;-UMB_CRITICO,"MUY POR DEBAJO",IF(AK497&lt;-UMB_BAJO,"POR DEBAJO",IF(AK497&lt;-UMB_AJUSTADO,"AJUSTADO",IF(AK497&lt;=UMB_ALTO,"EN OBJETIVO","POR ENCIMA"))))))))</f>
        <v/>
      </c>
      <c r="AN497" s="44"/>
      <c r="AO497" s="44"/>
      <c r="AP497" s="46"/>
      <c r="AQ497" s="46"/>
      <c r="AR497" s="46"/>
      <c r="AS497" s="44"/>
      <c r="AT497" s="44"/>
      <c r="AU497" s="44"/>
      <c r="AV497" s="44"/>
      <c r="AW497" s="44"/>
      <c r="AX497" s="45"/>
      <c r="AY497" s="44"/>
      <c r="AZ497" s="56"/>
      <c r="BA497" s="45"/>
    </row>
    <row r="498" customFormat="false" ht="15" hidden="false" customHeight="false" outlineLevel="0" collapsed="false">
      <c r="A498" s="44"/>
      <c r="B498" s="44"/>
      <c r="C498" s="45"/>
      <c r="D498" s="45"/>
      <c r="E498" s="44"/>
      <c r="F498" s="44"/>
      <c r="G498" s="44"/>
      <c r="H498" s="44"/>
      <c r="I498" s="44"/>
      <c r="J498" s="44"/>
      <c r="K498" s="44"/>
      <c r="L498" s="44"/>
      <c r="M498" s="44"/>
      <c r="N498" s="44"/>
      <c r="O498" s="46"/>
      <c r="P498" s="44"/>
      <c r="Q498" s="46"/>
      <c r="R498" s="44"/>
      <c r="S498" s="45"/>
      <c r="T498" s="44"/>
      <c r="U498" s="44"/>
      <c r="V498" s="47"/>
      <c r="W498" s="48" t="str">
        <f aca="false">IF(V498="","",IFERROR(V498/O498,""))</f>
        <v/>
      </c>
      <c r="X498" s="44"/>
      <c r="Y498" s="46"/>
      <c r="Z498" s="49"/>
      <c r="AA498" s="44"/>
      <c r="AB498" s="50" t="str">
        <f aca="false">IFERROR(INDEX(TABLA_IVA!$C$3:$C$6,MATCH(AA498,TABLA_IVA!$A$3:$A$6,0)),"")</f>
        <v/>
      </c>
      <c r="AC498" s="47"/>
      <c r="AD498" s="44"/>
      <c r="AE498" s="51"/>
      <c r="AF498" s="52" t="str">
        <f aca="false">IF(OR(AC498="",AE498="",AB498=""),"",IFERROR(AC498/(1-AE498)*(1+AB498),""))</f>
        <v/>
      </c>
      <c r="AG498" s="47"/>
      <c r="AH498" s="52" t="str">
        <f aca="false">IF(AD498="FIJO",IF(AG498="","",AG498),IF(AF498&lt;&gt;"",AF498,IF(AG498="","",AG498)))</f>
        <v/>
      </c>
      <c r="AI498" s="52" t="str">
        <f aca="false">IF(OR(AH498="",AB498=""),"",IFERROR(AH498/(1+AB498),""))</f>
        <v/>
      </c>
      <c r="AJ498" s="50" t="str">
        <f aca="false">IF(OR(AI498="",AC498=""),"",IFERROR((AI498-AC498)/AI498,""))</f>
        <v/>
      </c>
      <c r="AK498" s="53" t="str">
        <f aca="false">IF(OR(AJ498="",AE498=""),"",AJ498-AE498)</f>
        <v/>
      </c>
      <c r="AL498" s="54" t="str">
        <f aca="false">IF(OR(AH498="",AF498=""),"",AH498-AF498)</f>
        <v/>
      </c>
      <c r="AM498" s="55" t="str">
        <f aca="false">IF(OR(A498="",K498&lt;&gt;"SI"),"",IF(AE498="","Sin objetivo",IF(AJ498="","Faltan datos",IF(AJ498&lt;0,"PÉRDIDA",IF(AK498&lt;-UMB_CRITICO,"MUY POR DEBAJO",IF(AK498&lt;-UMB_BAJO,"POR DEBAJO",IF(AK498&lt;-UMB_AJUSTADO,"AJUSTADO",IF(AK498&lt;=UMB_ALTO,"EN OBJETIVO","POR ENCIMA"))))))))</f>
        <v/>
      </c>
      <c r="AN498" s="44"/>
      <c r="AO498" s="44"/>
      <c r="AP498" s="46"/>
      <c r="AQ498" s="46"/>
      <c r="AR498" s="46"/>
      <c r="AS498" s="44"/>
      <c r="AT498" s="44"/>
      <c r="AU498" s="44"/>
      <c r="AV498" s="44"/>
      <c r="AW498" s="44"/>
      <c r="AX498" s="45"/>
      <c r="AY498" s="44"/>
      <c r="AZ498" s="56"/>
      <c r="BA498" s="45"/>
    </row>
    <row r="499" customFormat="false" ht="15" hidden="false" customHeight="false" outlineLevel="0" collapsed="false">
      <c r="A499" s="44"/>
      <c r="B499" s="44"/>
      <c r="C499" s="45"/>
      <c r="D499" s="45"/>
      <c r="E499" s="44"/>
      <c r="F499" s="44"/>
      <c r="G499" s="44"/>
      <c r="H499" s="44"/>
      <c r="I499" s="44"/>
      <c r="J499" s="44"/>
      <c r="K499" s="44"/>
      <c r="L499" s="44"/>
      <c r="M499" s="44"/>
      <c r="N499" s="44"/>
      <c r="O499" s="46"/>
      <c r="P499" s="44"/>
      <c r="Q499" s="46"/>
      <c r="R499" s="44"/>
      <c r="S499" s="45"/>
      <c r="T499" s="44"/>
      <c r="U499" s="44"/>
      <c r="V499" s="47"/>
      <c r="W499" s="48" t="str">
        <f aca="false">IF(V499="","",IFERROR(V499/O499,""))</f>
        <v/>
      </c>
      <c r="X499" s="44"/>
      <c r="Y499" s="46"/>
      <c r="Z499" s="49"/>
      <c r="AA499" s="44"/>
      <c r="AB499" s="50" t="str">
        <f aca="false">IFERROR(INDEX(TABLA_IVA!$C$3:$C$6,MATCH(AA499,TABLA_IVA!$A$3:$A$6,0)),"")</f>
        <v/>
      </c>
      <c r="AC499" s="47"/>
      <c r="AD499" s="44"/>
      <c r="AE499" s="51"/>
      <c r="AF499" s="52" t="str">
        <f aca="false">IF(OR(AC499="",AE499="",AB499=""),"",IFERROR(AC499/(1-AE499)*(1+AB499),""))</f>
        <v/>
      </c>
      <c r="AG499" s="47"/>
      <c r="AH499" s="52" t="str">
        <f aca="false">IF(AD499="FIJO",IF(AG499="","",AG499),IF(AF499&lt;&gt;"",AF499,IF(AG499="","",AG499)))</f>
        <v/>
      </c>
      <c r="AI499" s="52" t="str">
        <f aca="false">IF(OR(AH499="",AB499=""),"",IFERROR(AH499/(1+AB499),""))</f>
        <v/>
      </c>
      <c r="AJ499" s="50" t="str">
        <f aca="false">IF(OR(AI499="",AC499=""),"",IFERROR((AI499-AC499)/AI499,""))</f>
        <v/>
      </c>
      <c r="AK499" s="53" t="str">
        <f aca="false">IF(OR(AJ499="",AE499=""),"",AJ499-AE499)</f>
        <v/>
      </c>
      <c r="AL499" s="54" t="str">
        <f aca="false">IF(OR(AH499="",AF499=""),"",AH499-AF499)</f>
        <v/>
      </c>
      <c r="AM499" s="55" t="str">
        <f aca="false">IF(OR(A499="",K499&lt;&gt;"SI"),"",IF(AE499="","Sin objetivo",IF(AJ499="","Faltan datos",IF(AJ499&lt;0,"PÉRDIDA",IF(AK499&lt;-UMB_CRITICO,"MUY POR DEBAJO",IF(AK499&lt;-UMB_BAJO,"POR DEBAJO",IF(AK499&lt;-UMB_AJUSTADO,"AJUSTADO",IF(AK499&lt;=UMB_ALTO,"EN OBJETIVO","POR ENCIMA"))))))))</f>
        <v/>
      </c>
      <c r="AN499" s="44"/>
      <c r="AO499" s="44"/>
      <c r="AP499" s="46"/>
      <c r="AQ499" s="46"/>
      <c r="AR499" s="46"/>
      <c r="AS499" s="44"/>
      <c r="AT499" s="44"/>
      <c r="AU499" s="44"/>
      <c r="AV499" s="44"/>
      <c r="AW499" s="44"/>
      <c r="AX499" s="45"/>
      <c r="AY499" s="44"/>
      <c r="AZ499" s="56"/>
      <c r="BA499" s="45"/>
    </row>
    <row r="500" customFormat="false" ht="15" hidden="false" customHeight="false" outlineLevel="0" collapsed="false">
      <c r="A500" s="44"/>
      <c r="B500" s="44"/>
      <c r="C500" s="45"/>
      <c r="D500" s="45"/>
      <c r="E500" s="44"/>
      <c r="F500" s="44"/>
      <c r="G500" s="44"/>
      <c r="H500" s="44"/>
      <c r="I500" s="44"/>
      <c r="J500" s="44"/>
      <c r="K500" s="44"/>
      <c r="L500" s="44"/>
      <c r="M500" s="44"/>
      <c r="N500" s="44"/>
      <c r="O500" s="46"/>
      <c r="P500" s="44"/>
      <c r="Q500" s="46"/>
      <c r="R500" s="44"/>
      <c r="S500" s="45"/>
      <c r="T500" s="44"/>
      <c r="U500" s="44"/>
      <c r="V500" s="47"/>
      <c r="W500" s="48" t="str">
        <f aca="false">IF(V500="","",IFERROR(V500/O500,""))</f>
        <v/>
      </c>
      <c r="X500" s="44"/>
      <c r="Y500" s="46"/>
      <c r="Z500" s="49"/>
      <c r="AA500" s="44"/>
      <c r="AB500" s="50" t="str">
        <f aca="false">IFERROR(INDEX(TABLA_IVA!$C$3:$C$6,MATCH(AA500,TABLA_IVA!$A$3:$A$6,0)),"")</f>
        <v/>
      </c>
      <c r="AC500" s="47"/>
      <c r="AD500" s="44"/>
      <c r="AE500" s="51"/>
      <c r="AF500" s="52" t="str">
        <f aca="false">IF(OR(AC500="",AE500="",AB500=""),"",IFERROR(AC500/(1-AE500)*(1+AB500),""))</f>
        <v/>
      </c>
      <c r="AG500" s="47"/>
      <c r="AH500" s="52" t="str">
        <f aca="false">IF(AD500="FIJO",IF(AG500="","",AG500),IF(AF500&lt;&gt;"",AF500,IF(AG500="","",AG500)))</f>
        <v/>
      </c>
      <c r="AI500" s="52" t="str">
        <f aca="false">IF(OR(AH500="",AB500=""),"",IFERROR(AH500/(1+AB500),""))</f>
        <v/>
      </c>
      <c r="AJ500" s="50" t="str">
        <f aca="false">IF(OR(AI500="",AC500=""),"",IFERROR((AI500-AC500)/AI500,""))</f>
        <v/>
      </c>
      <c r="AK500" s="53" t="str">
        <f aca="false">IF(OR(AJ500="",AE500=""),"",AJ500-AE500)</f>
        <v/>
      </c>
      <c r="AL500" s="54" t="str">
        <f aca="false">IF(OR(AH500="",AF500=""),"",AH500-AF500)</f>
        <v/>
      </c>
      <c r="AM500" s="55" t="str">
        <f aca="false">IF(OR(A500="",K500&lt;&gt;"SI"),"",IF(AE500="","Sin objetivo",IF(AJ500="","Faltan datos",IF(AJ500&lt;0,"PÉRDIDA",IF(AK500&lt;-UMB_CRITICO,"MUY POR DEBAJO",IF(AK500&lt;-UMB_BAJO,"POR DEBAJO",IF(AK500&lt;-UMB_AJUSTADO,"AJUSTADO",IF(AK500&lt;=UMB_ALTO,"EN OBJETIVO","POR ENCIMA"))))))))</f>
        <v/>
      </c>
      <c r="AN500" s="44"/>
      <c r="AO500" s="44"/>
      <c r="AP500" s="46"/>
      <c r="AQ500" s="46"/>
      <c r="AR500" s="46"/>
      <c r="AS500" s="44"/>
      <c r="AT500" s="44"/>
      <c r="AU500" s="44"/>
      <c r="AV500" s="44"/>
      <c r="AW500" s="44"/>
      <c r="AX500" s="45"/>
      <c r="AY500" s="44"/>
      <c r="AZ500" s="56"/>
      <c r="BA500" s="45"/>
    </row>
    <row r="501" customFormat="false" ht="15" hidden="false" customHeight="false" outlineLevel="0" collapsed="false">
      <c r="A501" s="44"/>
      <c r="B501" s="44"/>
      <c r="C501" s="45"/>
      <c r="D501" s="45"/>
      <c r="E501" s="44"/>
      <c r="F501" s="44"/>
      <c r="G501" s="44"/>
      <c r="H501" s="44"/>
      <c r="I501" s="44"/>
      <c r="J501" s="44"/>
      <c r="K501" s="44"/>
      <c r="L501" s="44"/>
      <c r="M501" s="44"/>
      <c r="N501" s="44"/>
      <c r="O501" s="46"/>
      <c r="P501" s="44"/>
      <c r="Q501" s="46"/>
      <c r="R501" s="44"/>
      <c r="S501" s="45"/>
      <c r="T501" s="44"/>
      <c r="U501" s="44"/>
      <c r="V501" s="47"/>
      <c r="W501" s="48" t="str">
        <f aca="false">IF(V501="","",IFERROR(V501/O501,""))</f>
        <v/>
      </c>
      <c r="X501" s="44"/>
      <c r="Y501" s="46"/>
      <c r="Z501" s="49"/>
      <c r="AA501" s="44"/>
      <c r="AB501" s="50" t="str">
        <f aca="false">IFERROR(INDEX(TABLA_IVA!$C$3:$C$6,MATCH(AA501,TABLA_IVA!$A$3:$A$6,0)),"")</f>
        <v/>
      </c>
      <c r="AC501" s="47"/>
      <c r="AD501" s="44"/>
      <c r="AE501" s="51"/>
      <c r="AF501" s="52" t="str">
        <f aca="false">IF(OR(AC501="",AE501="",AB501=""),"",IFERROR(AC501/(1-AE501)*(1+AB501),""))</f>
        <v/>
      </c>
      <c r="AG501" s="47"/>
      <c r="AH501" s="52" t="str">
        <f aca="false">IF(AD501="FIJO",IF(AG501="","",AG501),IF(AF501&lt;&gt;"",AF501,IF(AG501="","",AG501)))</f>
        <v/>
      </c>
      <c r="AI501" s="52" t="str">
        <f aca="false">IF(OR(AH501="",AB501=""),"",IFERROR(AH501/(1+AB501),""))</f>
        <v/>
      </c>
      <c r="AJ501" s="50" t="str">
        <f aca="false">IF(OR(AI501="",AC501=""),"",IFERROR((AI501-AC501)/AI501,""))</f>
        <v/>
      </c>
      <c r="AK501" s="53" t="str">
        <f aca="false">IF(OR(AJ501="",AE501=""),"",AJ501-AE501)</f>
        <v/>
      </c>
      <c r="AL501" s="54" t="str">
        <f aca="false">IF(OR(AH501="",AF501=""),"",AH501-AF501)</f>
        <v/>
      </c>
      <c r="AM501" s="55" t="str">
        <f aca="false">IF(OR(A501="",K501&lt;&gt;"SI"),"",IF(AE501="","Sin objetivo",IF(AJ501="","Faltan datos",IF(AJ501&lt;0,"PÉRDIDA",IF(AK501&lt;-UMB_CRITICO,"MUY POR DEBAJO",IF(AK501&lt;-UMB_BAJO,"POR DEBAJO",IF(AK501&lt;-UMB_AJUSTADO,"AJUSTADO",IF(AK501&lt;=UMB_ALTO,"EN OBJETIVO","POR ENCIMA"))))))))</f>
        <v/>
      </c>
      <c r="AN501" s="44"/>
      <c r="AO501" s="44"/>
      <c r="AP501" s="46"/>
      <c r="AQ501" s="46"/>
      <c r="AR501" s="46"/>
      <c r="AS501" s="44"/>
      <c r="AT501" s="44"/>
      <c r="AU501" s="44"/>
      <c r="AV501" s="44"/>
      <c r="AW501" s="44"/>
      <c r="AX501" s="45"/>
      <c r="AY501" s="44"/>
      <c r="AZ501" s="56"/>
      <c r="BA501" s="45"/>
    </row>
    <row r="502" customFormat="false" ht="15" hidden="false" customHeight="false" outlineLevel="0" collapsed="false">
      <c r="A502" s="44"/>
      <c r="B502" s="44"/>
      <c r="C502" s="45"/>
      <c r="D502" s="45"/>
      <c r="E502" s="44"/>
      <c r="F502" s="44"/>
      <c r="G502" s="44"/>
      <c r="H502" s="44"/>
      <c r="I502" s="44"/>
      <c r="J502" s="44"/>
      <c r="K502" s="44"/>
      <c r="L502" s="44"/>
      <c r="M502" s="44"/>
      <c r="N502" s="44"/>
      <c r="O502" s="46"/>
      <c r="P502" s="44"/>
      <c r="Q502" s="46"/>
      <c r="R502" s="44"/>
      <c r="S502" s="45"/>
      <c r="T502" s="44"/>
      <c r="U502" s="44"/>
      <c r="V502" s="47"/>
      <c r="W502" s="48" t="str">
        <f aca="false">IF(V502="","",IFERROR(V502/O502,""))</f>
        <v/>
      </c>
      <c r="X502" s="44"/>
      <c r="Y502" s="46"/>
      <c r="Z502" s="49"/>
      <c r="AA502" s="44"/>
      <c r="AB502" s="50" t="str">
        <f aca="false">IFERROR(INDEX(TABLA_IVA!$C$3:$C$6,MATCH(AA502,TABLA_IVA!$A$3:$A$6,0)),"")</f>
        <v/>
      </c>
      <c r="AC502" s="47"/>
      <c r="AD502" s="44"/>
      <c r="AE502" s="51"/>
      <c r="AF502" s="52" t="str">
        <f aca="false">IF(OR(AC502="",AE502="",AB502=""),"",IFERROR(AC502/(1-AE502)*(1+AB502),""))</f>
        <v/>
      </c>
      <c r="AG502" s="47"/>
      <c r="AH502" s="52" t="str">
        <f aca="false">IF(AD502="FIJO",IF(AG502="","",AG502),IF(AF502&lt;&gt;"",AF502,IF(AG502="","",AG502)))</f>
        <v/>
      </c>
      <c r="AI502" s="52" t="str">
        <f aca="false">IF(OR(AH502="",AB502=""),"",IFERROR(AH502/(1+AB502),""))</f>
        <v/>
      </c>
      <c r="AJ502" s="50" t="str">
        <f aca="false">IF(OR(AI502="",AC502=""),"",IFERROR((AI502-AC502)/AI502,""))</f>
        <v/>
      </c>
      <c r="AK502" s="53" t="str">
        <f aca="false">IF(OR(AJ502="",AE502=""),"",AJ502-AE502)</f>
        <v/>
      </c>
      <c r="AL502" s="54" t="str">
        <f aca="false">IF(OR(AH502="",AF502=""),"",AH502-AF502)</f>
        <v/>
      </c>
      <c r="AM502" s="55" t="str">
        <f aca="false">IF(OR(A502="",K502&lt;&gt;"SI"),"",IF(AE502="","Sin objetivo",IF(AJ502="","Faltan datos",IF(AJ502&lt;0,"PÉRDIDA",IF(AK502&lt;-UMB_CRITICO,"MUY POR DEBAJO",IF(AK502&lt;-UMB_BAJO,"POR DEBAJO",IF(AK502&lt;-UMB_AJUSTADO,"AJUSTADO",IF(AK502&lt;=UMB_ALTO,"EN OBJETIVO","POR ENCIMA"))))))))</f>
        <v/>
      </c>
      <c r="AN502" s="44"/>
      <c r="AO502" s="44"/>
      <c r="AP502" s="46"/>
      <c r="AQ502" s="46"/>
      <c r="AR502" s="46"/>
      <c r="AS502" s="44"/>
      <c r="AT502" s="44"/>
      <c r="AU502" s="44"/>
      <c r="AV502" s="44"/>
      <c r="AW502" s="44"/>
      <c r="AX502" s="45"/>
      <c r="AY502" s="44"/>
      <c r="AZ502" s="56"/>
      <c r="BA502" s="45"/>
    </row>
  </sheetData>
  <autoFilter ref="A2:BA502"/>
  <mergeCells count="9">
    <mergeCell ref="A1:D1"/>
    <mergeCell ref="E1:L1"/>
    <mergeCell ref="M1:S1"/>
    <mergeCell ref="T1:Z1"/>
    <mergeCell ref="AA1:AC1"/>
    <mergeCell ref="AD1:AM1"/>
    <mergeCell ref="AN1:AT1"/>
    <mergeCell ref="AU1:AX1"/>
    <mergeCell ref="AY1:BA1"/>
  </mergeCells>
  <conditionalFormatting sqref="A3:A502">
    <cfRule type="duplicateValues" priority="2" aboveAverage="0" equalAverage="0" bottom="0" percent="0" rank="0" text="" dxfId="21"/>
  </conditionalFormatting>
  <conditionalFormatting sqref="AM3:AM502">
    <cfRule type="expression" priority="3" aboveAverage="0" equalAverage="0" bottom="0" percent="0" rank="0" text="" dxfId="22">
      <formula>$AM3="PÉRDIDA"</formula>
    </cfRule>
    <cfRule type="expression" priority="4" aboveAverage="0" equalAverage="0" bottom="0" percent="0" rank="0" text="" dxfId="23">
      <formula>$AM3="MUY POR DEBAJO"</formula>
    </cfRule>
    <cfRule type="expression" priority="5" aboveAverage="0" equalAverage="0" bottom="0" percent="0" rank="0" text="" dxfId="24">
      <formula>$AM3="POR DEBAJO"</formula>
    </cfRule>
    <cfRule type="expression" priority="6" aboveAverage="0" equalAverage="0" bottom="0" percent="0" rank="0" text="" dxfId="25">
      <formula>$AM3="AJUSTADO"</formula>
    </cfRule>
    <cfRule type="expression" priority="7" aboveAverage="0" equalAverage="0" bottom="0" percent="0" rank="0" text="" dxfId="26">
      <formula>$AM3="EN OBJETIVO"</formula>
    </cfRule>
    <cfRule type="expression" priority="8" aboveAverage="0" equalAverage="0" bottom="0" percent="0" rank="0" text="" dxfId="27">
      <formula>$AM3="POR ENCIMA"</formula>
    </cfRule>
  </conditionalFormatting>
  <conditionalFormatting sqref="AK3:AK502">
    <cfRule type="expression" priority="9" aboveAverage="0" equalAverage="0" bottom="0" percent="0" rank="0" text="" dxfId="21">
      <formula>AND(ISNUMBER(AK3),AK3&lt;-UMB_BAJO)</formula>
    </cfRule>
    <cfRule type="expression" priority="10" aboveAverage="0" equalAverage="0" bottom="0" percent="0" rank="0" text="" dxfId="26">
      <formula>AND(ISNUMBER(AK3),AK3&gt;=-UMB_AJUSTADO)</formula>
    </cfRule>
  </conditionalFormatting>
  <conditionalFormatting sqref="AJ3:AJ502">
    <cfRule type="cellIs" priority="11" operator="lessThan" aboveAverage="0" equalAverage="0" bottom="0" percent="0" rank="0" text="" dxfId="22">
      <formula>0</formula>
    </cfRule>
  </conditionalFormatting>
  <dataValidations count="21">
    <dataValidation allowBlank="true" error="Selecciona un valor de la lista desplegable." errorStyle="stop" errorTitle="Valor no valido" operator="between" showDropDown="false" showErrorMessage="false" showInputMessage="false" sqref="E3:E502" type="list">
      <formula1>LST_TIPO</formula1>
      <formula2>0</formula2>
    </dataValidation>
    <dataValidation allowBlank="true" error="Selecciona un valor de la lista desplegable." errorStyle="stop" errorTitle="Valor no valido" operator="between" showDropDown="false" showErrorMessage="false" showInputMessage="false" sqref="F3:F502" type="list">
      <formula1>LST_FAMILIA</formula1>
      <formula2>0</formula2>
    </dataValidation>
    <dataValidation allowBlank="true" error="Selecciona un valor de la lista desplegable." errorStyle="stop" errorTitle="Valor no valido" operator="between" showDropDown="false" showErrorMessage="false" showInputMessage="false" sqref="G3:G502" type="list">
      <formula1>LST_SUBFAMILIA</formula1>
      <formula2>0</formula2>
    </dataValidation>
    <dataValidation allowBlank="true" error="Selecciona un valor de la lista desplegable." errorStyle="stop" errorTitle="Valor no valido" operator="between" showDropDown="false" showErrorMessage="false" showInputMessage="false" sqref="H3:H502" type="list">
      <formula1>LST_SECCION</formula1>
      <formula2>0</formula2>
    </dataValidation>
    <dataValidation allowBlank="true" error="Selecciona un valor de la lista desplegable." errorStyle="stop" errorTitle="Valor no valido" operator="between" showDropDown="false" showErrorMessage="false" showInputMessage="false" sqref="I3:I502" type="list">
      <formula1>LST_SN</formula1>
      <formula2>0</formula2>
    </dataValidation>
    <dataValidation allowBlank="true" error="Selecciona un valor de la lista desplegable." errorStyle="stop" errorTitle="Valor no valido" operator="between" showDropDown="false" showErrorMessage="false" showInputMessage="false" sqref="J3:J502" type="list">
      <formula1>LST_SN</formula1>
      <formula2>0</formula2>
    </dataValidation>
    <dataValidation allowBlank="true" error="Selecciona un valor de la lista desplegable." errorStyle="stop" errorTitle="Valor no valido" operator="between" showDropDown="false" showErrorMessage="false" showInputMessage="false" sqref="K3:K502" type="list">
      <formula1>LST_SN</formula1>
      <formula2>0</formula2>
    </dataValidation>
    <dataValidation allowBlank="true" error="Selecciona un valor de la lista desplegable." errorStyle="stop" errorTitle="Valor no valido" operator="between" showDropDown="false" showErrorMessage="false" showInputMessage="false" sqref="L3:L502" type="list">
      <formula1>LST_SN</formula1>
      <formula2>0</formula2>
    </dataValidation>
    <dataValidation allowBlank="true" error="Selecciona un valor de la lista desplegable." errorStyle="stop" errorTitle="Valor no valido" operator="between" showDropDown="false" showErrorMessage="false" showInputMessage="false" sqref="M3:M502" type="list">
      <formula1>LST_UM</formula1>
      <formula2>0</formula2>
    </dataValidation>
    <dataValidation allowBlank="true" error="Selecciona un valor de la lista desplegable." errorStyle="stop" errorTitle="Valor no valido" operator="between" showDropDown="false" showErrorMessage="false" showInputMessage="false" sqref="N3:N502" type="list">
      <formula1>LST_UM</formula1>
      <formula2>0</formula2>
    </dataValidation>
    <dataValidation allowBlank="true" error="Selecciona un valor de la lista desplegable." errorStyle="stop" errorTitle="Valor no valido" operator="between" showDropDown="false" showErrorMessage="false" showInputMessage="false" sqref="P3:P502" type="list">
      <formula1>LST_UM</formula1>
      <formula2>0</formula2>
    </dataValidation>
    <dataValidation allowBlank="true" error="Selecciona un valor de la lista desplegable." errorStyle="stop" errorTitle="Valor no valido" operator="between" showDropDown="false" showErrorMessage="false" showInputMessage="false" sqref="T3:T502" type="list">
      <formula1>LST_PROVEEDOR</formula1>
      <formula2>0</formula2>
    </dataValidation>
    <dataValidation allowBlank="true" error="Selecciona un valor de la lista desplegable." errorStyle="stop" errorTitle="Valor no valido" operator="between" showDropDown="false" showErrorMessage="false" showInputMessage="false" sqref="AA3:AA502" type="list">
      <formula1>LST_IVA</formula1>
      <formula2>0</formula2>
    </dataValidation>
    <dataValidation allowBlank="true" error="Selecciona un valor de la lista desplegable." errorStyle="stop" errorTitle="Valor no valido" operator="between" showDropDown="false" showErrorMessage="false" showInputMessage="false" sqref="AD3:AD502" type="list">
      <formula1>LST_METODO_PRECIO</formula1>
      <formula2>0</formula2>
    </dataValidation>
    <dataValidation allowBlank="true" error="Selecciona un valor de la lista desplegable." errorStyle="stop" errorTitle="Valor no valido" operator="between" showDropDown="false" showErrorMessage="false" showInputMessage="false" sqref="AN3:AN502" type="list">
      <formula1>LST_SN</formula1>
      <formula2>0</formula2>
    </dataValidation>
    <dataValidation allowBlank="true" error="Selecciona un valor de la lista desplegable." errorStyle="stop" errorTitle="Valor no valido" operator="between" showDropDown="false" showErrorMessage="false" showInputMessage="false" sqref="AO3:AO502" type="list">
      <formula1>LST_VALORACION</formula1>
      <formula2>0</formula2>
    </dataValidation>
    <dataValidation allowBlank="true" error="Selecciona un valor de la lista desplegable." errorStyle="stop" errorTitle="Valor no valido" operator="between" showDropDown="false" showErrorMessage="false" showInputMessage="false" sqref="AS3:AS502" type="list">
      <formula1>LST_UBICACION</formula1>
      <formula2>0</formula2>
    </dataValidation>
    <dataValidation allowBlank="true" error="Selecciona un valor de la lista desplegable." errorStyle="stop" errorTitle="Valor no valido" operator="between" showDropDown="false" showErrorMessage="false" showInputMessage="false" sqref="AT3:AT502" type="list">
      <formula1>LST_ABC</formula1>
      <formula2>0</formula2>
    </dataValidation>
    <dataValidation allowBlank="true" error="Selecciona un valor de la lista desplegable." errorStyle="stop" errorTitle="Valor no valido" operator="between" showDropDown="false" showErrorMessage="false" showInputMessage="false" sqref="AU3:AU502" type="list">
      <formula1>LST_SN</formula1>
      <formula2>0</formula2>
    </dataValidation>
    <dataValidation allowBlank="true" error="Selecciona un valor de la lista desplegable." errorStyle="stop" errorTitle="Valor no valido" operator="between" showDropDown="false" showErrorMessage="false" showInputMessage="false" sqref="AW3:AW502" type="list">
      <formula1>LST_CONSERVACION</formula1>
      <formula2>0</formula2>
    </dataValidation>
    <dataValidation allowBlank="true" error="Selecciona un valor de la lista desplegable." errorStyle="stop" errorTitle="Valor no valido" operator="between" showDropDown="false" showErrorMessage="false" showInputMessage="false" sqref="AY3:AY502" type="list">
      <formula1>LST_ESTADO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1"/>
    <col collapsed="false" customWidth="true" hidden="false" outlineLevel="0" max="3" min="3" style="0" width="26"/>
    <col collapsed="false" customWidth="true" hidden="false" outlineLevel="0" max="4" min="4" style="0" width="24"/>
    <col collapsed="false" customWidth="true" hidden="false" outlineLevel="0" max="5" min="5" style="0" width="16"/>
    <col collapsed="false" customWidth="true" hidden="false" outlineLevel="0" max="6" min="6" style="0" width="8"/>
    <col collapsed="false" customWidth="true" hidden="false" outlineLevel="0" max="7" min="7" style="0" width="13"/>
    <col collapsed="false" customWidth="true" hidden="false" outlineLevel="0" max="8" min="8" style="0" width="16"/>
    <col collapsed="false" customWidth="true" hidden="false" outlineLevel="0" max="9" min="9" style="0" width="12"/>
    <col collapsed="false" customWidth="true" hidden="false" outlineLevel="0" max="10" min="10" style="0" width="23"/>
    <col collapsed="false" customWidth="true" hidden="false" outlineLevel="0" max="11" min="11" style="0" width="22"/>
    <col collapsed="false" customWidth="true" hidden="false" outlineLevel="0" max="12" min="12" style="0" width="16"/>
    <col collapsed="false" customWidth="true" hidden="false" outlineLevel="0" max="13" min="13" style="0" width="32"/>
  </cols>
  <sheetData>
    <row r="1" customFormat="false" ht="15" hidden="false" customHeight="false" outlineLevel="0" collapsed="false">
      <c r="A1" s="57" t="s">
        <v>434</v>
      </c>
      <c r="B1" s="57"/>
      <c r="C1" s="57"/>
      <c r="D1" s="57"/>
      <c r="E1" s="57"/>
      <c r="F1" s="57"/>
      <c r="G1" s="57"/>
      <c r="H1" s="57"/>
      <c r="I1" s="57"/>
      <c r="J1" s="57"/>
      <c r="K1" s="57"/>
      <c r="L1" s="57"/>
      <c r="M1" s="57"/>
    </row>
    <row r="2" customFormat="false" ht="30" hidden="false" customHeight="true" outlineLevel="0" collapsed="false">
      <c r="A2" s="58" t="s">
        <v>26</v>
      </c>
      <c r="B2" s="58" t="s">
        <v>69</v>
      </c>
      <c r="C2" s="58" t="s">
        <v>65</v>
      </c>
      <c r="D2" s="58" t="s">
        <v>67</v>
      </c>
      <c r="E2" s="58" t="s">
        <v>435</v>
      </c>
      <c r="F2" s="58" t="s">
        <v>436</v>
      </c>
      <c r="G2" s="58" t="s">
        <v>437</v>
      </c>
      <c r="H2" s="58" t="s">
        <v>119</v>
      </c>
      <c r="I2" s="58" t="s">
        <v>152</v>
      </c>
      <c r="J2" s="58" t="s">
        <v>150</v>
      </c>
      <c r="K2" s="58" t="s">
        <v>159</v>
      </c>
      <c r="L2" s="58" t="s">
        <v>163</v>
      </c>
      <c r="M2" s="58" t="s">
        <v>438</v>
      </c>
    </row>
    <row r="3" customFormat="false" ht="15" hidden="false" customHeight="false" outlineLevel="0" collapsed="false">
      <c r="A3" s="59" t="s">
        <v>173</v>
      </c>
      <c r="B3" s="59" t="s">
        <v>176</v>
      </c>
      <c r="C3" s="59" t="s">
        <v>174</v>
      </c>
      <c r="D3" s="59" t="s">
        <v>175</v>
      </c>
      <c r="E3" s="59" t="s">
        <v>178</v>
      </c>
      <c r="F3" s="59" t="s">
        <v>52</v>
      </c>
      <c r="G3" s="59" t="s">
        <v>184</v>
      </c>
      <c r="H3" s="59" t="s">
        <v>415</v>
      </c>
      <c r="I3" s="59" t="s">
        <v>186</v>
      </c>
      <c r="J3" s="59" t="s">
        <v>185</v>
      </c>
      <c r="K3" s="59" t="s">
        <v>243</v>
      </c>
      <c r="L3" s="59" t="s">
        <v>189</v>
      </c>
      <c r="M3" s="59" t="s">
        <v>188</v>
      </c>
    </row>
    <row r="4" customFormat="false" ht="15" hidden="false" customHeight="false" outlineLevel="0" collapsed="false">
      <c r="A4" s="59" t="s">
        <v>278</v>
      </c>
      <c r="B4" s="59" t="s">
        <v>193</v>
      </c>
      <c r="C4" s="59" t="s">
        <v>198</v>
      </c>
      <c r="D4" s="59" t="s">
        <v>439</v>
      </c>
      <c r="E4" s="59" t="s">
        <v>440</v>
      </c>
      <c r="F4" s="59" t="s">
        <v>177</v>
      </c>
      <c r="G4" s="59" t="s">
        <v>204</v>
      </c>
      <c r="H4" s="59" t="s">
        <v>337</v>
      </c>
      <c r="I4" s="59" t="s">
        <v>221</v>
      </c>
      <c r="J4" s="59" t="s">
        <v>205</v>
      </c>
      <c r="K4" s="59" t="s">
        <v>206</v>
      </c>
      <c r="L4" s="59" t="s">
        <v>441</v>
      </c>
      <c r="M4" s="59" t="s">
        <v>442</v>
      </c>
    </row>
    <row r="5" customFormat="false" ht="15" hidden="false" customHeight="false" outlineLevel="0" collapsed="false">
      <c r="A5" s="59" t="s">
        <v>304</v>
      </c>
      <c r="B5" s="59" t="s">
        <v>403</v>
      </c>
      <c r="C5" s="59" t="s">
        <v>217</v>
      </c>
      <c r="D5" s="59" t="s">
        <v>443</v>
      </c>
      <c r="E5" s="59" t="s">
        <v>240</v>
      </c>
      <c r="I5" s="59" t="s">
        <v>213</v>
      </c>
      <c r="J5" s="59" t="s">
        <v>313</v>
      </c>
      <c r="K5" s="59" t="s">
        <v>314</v>
      </c>
      <c r="L5" s="59" t="s">
        <v>444</v>
      </c>
      <c r="M5" s="59" t="s">
        <v>256</v>
      </c>
    </row>
    <row r="6" customFormat="false" ht="15" hidden="false" customHeight="false" outlineLevel="0" collapsed="false">
      <c r="A6" s="59" t="s">
        <v>333</v>
      </c>
      <c r="B6" s="59" t="s">
        <v>411</v>
      </c>
      <c r="C6" s="59" t="s">
        <v>225</v>
      </c>
      <c r="D6" s="59" t="s">
        <v>199</v>
      </c>
      <c r="E6" s="59" t="s">
        <v>445</v>
      </c>
      <c r="J6" s="59" t="s">
        <v>446</v>
      </c>
      <c r="K6" s="59" t="s">
        <v>187</v>
      </c>
      <c r="M6" s="59" t="s">
        <v>447</v>
      </c>
    </row>
    <row r="7" customFormat="false" ht="15" hidden="false" customHeight="false" outlineLevel="0" collapsed="false">
      <c r="A7" s="59" t="s">
        <v>410</v>
      </c>
      <c r="B7" s="59" t="s">
        <v>423</v>
      </c>
      <c r="C7" s="59" t="s">
        <v>239</v>
      </c>
      <c r="D7" s="59" t="s">
        <v>448</v>
      </c>
      <c r="E7" s="59" t="s">
        <v>282</v>
      </c>
      <c r="J7" s="59" t="s">
        <v>338</v>
      </c>
      <c r="M7" s="59" t="s">
        <v>449</v>
      </c>
    </row>
    <row r="8" customFormat="false" ht="15" hidden="false" customHeight="false" outlineLevel="0" collapsed="false">
      <c r="B8" s="59" t="s">
        <v>281</v>
      </c>
      <c r="C8" s="59" t="s">
        <v>269</v>
      </c>
      <c r="D8" s="59" t="s">
        <v>218</v>
      </c>
      <c r="E8" s="59" t="s">
        <v>450</v>
      </c>
      <c r="J8" s="59" t="s">
        <v>287</v>
      </c>
      <c r="M8" s="59" t="s">
        <v>451</v>
      </c>
    </row>
    <row r="9" customFormat="false" ht="15" hidden="false" customHeight="false" outlineLevel="0" collapsed="false">
      <c r="C9" s="59" t="s">
        <v>260</v>
      </c>
      <c r="D9" s="59" t="s">
        <v>226</v>
      </c>
      <c r="E9" s="59" t="s">
        <v>452</v>
      </c>
      <c r="J9" s="59" t="s">
        <v>453</v>
      </c>
      <c r="M9" s="59" t="s">
        <v>229</v>
      </c>
    </row>
    <row r="10" customFormat="false" ht="15" hidden="false" customHeight="false" outlineLevel="0" collapsed="false">
      <c r="C10" s="59" t="s">
        <v>454</v>
      </c>
      <c r="D10" s="59" t="s">
        <v>233</v>
      </c>
      <c r="E10" s="59" t="s">
        <v>200</v>
      </c>
      <c r="M10" s="59" t="s">
        <v>274</v>
      </c>
    </row>
    <row r="11" customFormat="false" ht="15" hidden="false" customHeight="false" outlineLevel="0" collapsed="false">
      <c r="C11" s="59" t="s">
        <v>210</v>
      </c>
      <c r="D11" s="59" t="s">
        <v>455</v>
      </c>
      <c r="E11" s="59" t="s">
        <v>179</v>
      </c>
      <c r="M11" s="59" t="s">
        <v>456</v>
      </c>
    </row>
    <row r="12" customFormat="false" ht="15" hidden="false" customHeight="false" outlineLevel="0" collapsed="false">
      <c r="C12" s="59" t="s">
        <v>279</v>
      </c>
      <c r="D12" s="59" t="s">
        <v>229</v>
      </c>
      <c r="E12" s="59" t="s">
        <v>253</v>
      </c>
      <c r="M12" s="59" t="s">
        <v>457</v>
      </c>
    </row>
    <row r="13" customFormat="false" ht="15" hidden="false" customHeight="false" outlineLevel="0" collapsed="false">
      <c r="C13" s="59" t="s">
        <v>458</v>
      </c>
      <c r="D13" s="59" t="s">
        <v>247</v>
      </c>
      <c r="E13" s="59" t="s">
        <v>271</v>
      </c>
      <c r="M13" s="59" t="s">
        <v>459</v>
      </c>
    </row>
    <row r="14" customFormat="false" ht="15" hidden="false" customHeight="false" outlineLevel="0" collapsed="false">
      <c r="C14" s="59" t="s">
        <v>334</v>
      </c>
      <c r="D14" s="59" t="s">
        <v>460</v>
      </c>
      <c r="E14" s="59" t="s">
        <v>391</v>
      </c>
      <c r="M14" s="59" t="s">
        <v>461</v>
      </c>
    </row>
    <row r="15" customFormat="false" ht="15" hidden="false" customHeight="false" outlineLevel="0" collapsed="false">
      <c r="C15" s="59" t="s">
        <v>363</v>
      </c>
      <c r="D15" s="59" t="s">
        <v>252</v>
      </c>
      <c r="E15" s="59" t="s">
        <v>462</v>
      </c>
      <c r="M15" s="59" t="s">
        <v>463</v>
      </c>
    </row>
    <row r="16" customFormat="false" ht="15" hidden="false" customHeight="false" outlineLevel="0" collapsed="false">
      <c r="C16" s="59" t="s">
        <v>383</v>
      </c>
      <c r="D16" s="59" t="s">
        <v>464</v>
      </c>
      <c r="M16" s="59" t="s">
        <v>465</v>
      </c>
    </row>
    <row r="17" customFormat="false" ht="15" hidden="false" customHeight="false" outlineLevel="0" collapsed="false">
      <c r="C17" s="59" t="s">
        <v>389</v>
      </c>
      <c r="D17" s="59" t="s">
        <v>270</v>
      </c>
    </row>
    <row r="18" customFormat="false" ht="15" hidden="false" customHeight="false" outlineLevel="0" collapsed="false">
      <c r="C18" s="59" t="s">
        <v>403</v>
      </c>
      <c r="D18" s="59" t="s">
        <v>466</v>
      </c>
    </row>
    <row r="19" customFormat="false" ht="15" hidden="false" customHeight="false" outlineLevel="0" collapsed="false">
      <c r="C19" s="59" t="s">
        <v>421</v>
      </c>
      <c r="D19" s="59" t="s">
        <v>261</v>
      </c>
    </row>
    <row r="20" customFormat="false" ht="15" hidden="false" customHeight="false" outlineLevel="0" collapsed="false">
      <c r="C20" s="59" t="s">
        <v>411</v>
      </c>
      <c r="D20" s="59" t="s">
        <v>467</v>
      </c>
    </row>
    <row r="21" customFormat="false" ht="15" hidden="false" customHeight="false" outlineLevel="0" collapsed="false">
      <c r="C21" s="59" t="s">
        <v>305</v>
      </c>
      <c r="D21" s="59" t="s">
        <v>468</v>
      </c>
    </row>
    <row r="22" customFormat="false" ht="15" hidden="false" customHeight="false" outlineLevel="0" collapsed="false">
      <c r="D22" s="59" t="s">
        <v>469</v>
      </c>
    </row>
    <row r="23" customFormat="false" ht="15" hidden="false" customHeight="false" outlineLevel="0" collapsed="false">
      <c r="D23" s="59" t="s">
        <v>280</v>
      </c>
    </row>
    <row r="24" customFormat="false" ht="15" hidden="false" customHeight="false" outlineLevel="0" collapsed="false">
      <c r="D24" s="59" t="s">
        <v>291</v>
      </c>
    </row>
    <row r="25" customFormat="false" ht="15" hidden="false" customHeight="false" outlineLevel="0" collapsed="false">
      <c r="D25" s="59" t="s">
        <v>470</v>
      </c>
    </row>
    <row r="26" customFormat="false" ht="15" hidden="false" customHeight="false" outlineLevel="0" collapsed="false">
      <c r="D26" s="59" t="s">
        <v>297</v>
      </c>
    </row>
    <row r="27" customFormat="false" ht="15" hidden="false" customHeight="false" outlineLevel="0" collapsed="false">
      <c r="D27" s="59" t="s">
        <v>335</v>
      </c>
    </row>
    <row r="28" customFormat="false" ht="15" hidden="false" customHeight="false" outlineLevel="0" collapsed="false">
      <c r="D28" s="59" t="s">
        <v>343</v>
      </c>
    </row>
    <row r="29" customFormat="false" ht="15" hidden="false" customHeight="false" outlineLevel="0" collapsed="false">
      <c r="D29" s="59" t="s">
        <v>349</v>
      </c>
    </row>
    <row r="30" customFormat="false" ht="15" hidden="false" customHeight="false" outlineLevel="0" collapsed="false">
      <c r="D30" s="59" t="s">
        <v>355</v>
      </c>
    </row>
    <row r="31" customFormat="false" ht="15" hidden="false" customHeight="false" outlineLevel="0" collapsed="false">
      <c r="D31" s="59" t="s">
        <v>471</v>
      </c>
    </row>
    <row r="32" customFormat="false" ht="15" hidden="false" customHeight="false" outlineLevel="0" collapsed="false">
      <c r="D32" s="59" t="s">
        <v>364</v>
      </c>
    </row>
    <row r="33" customFormat="false" ht="15" hidden="false" customHeight="false" outlineLevel="0" collapsed="false">
      <c r="D33" s="59" t="s">
        <v>377</v>
      </c>
    </row>
    <row r="34" customFormat="false" ht="15" hidden="false" customHeight="false" outlineLevel="0" collapsed="false">
      <c r="D34" s="59" t="s">
        <v>472</v>
      </c>
    </row>
    <row r="35" customFormat="false" ht="15" hidden="false" customHeight="false" outlineLevel="0" collapsed="false">
      <c r="D35" s="59" t="s">
        <v>384</v>
      </c>
    </row>
    <row r="36" customFormat="false" ht="15" hidden="false" customHeight="false" outlineLevel="0" collapsed="false">
      <c r="D36" s="59" t="s">
        <v>473</v>
      </c>
    </row>
    <row r="37" customFormat="false" ht="15" hidden="false" customHeight="false" outlineLevel="0" collapsed="false">
      <c r="D37" s="59" t="s">
        <v>396</v>
      </c>
    </row>
    <row r="38" customFormat="false" ht="15" hidden="false" customHeight="false" outlineLevel="0" collapsed="false">
      <c r="D38" s="59" t="s">
        <v>390</v>
      </c>
    </row>
    <row r="39" customFormat="false" ht="15" hidden="false" customHeight="false" outlineLevel="0" collapsed="false">
      <c r="D39" s="59" t="s">
        <v>474</v>
      </c>
    </row>
    <row r="40" customFormat="false" ht="15" hidden="false" customHeight="false" outlineLevel="0" collapsed="false">
      <c r="D40" s="59" t="s">
        <v>404</v>
      </c>
    </row>
    <row r="41" customFormat="false" ht="15" hidden="false" customHeight="false" outlineLevel="0" collapsed="false">
      <c r="D41" s="59" t="s">
        <v>475</v>
      </c>
    </row>
    <row r="42" customFormat="false" ht="15" hidden="false" customHeight="false" outlineLevel="0" collapsed="false">
      <c r="D42" s="59" t="s">
        <v>306</v>
      </c>
    </row>
    <row r="43" customFormat="false" ht="15" hidden="false" customHeight="false" outlineLevel="0" collapsed="false">
      <c r="D43" s="59" t="s">
        <v>319</v>
      </c>
    </row>
    <row r="44" customFormat="false" ht="15" hidden="false" customHeight="false" outlineLevel="0" collapsed="false">
      <c r="D44" s="59" t="s">
        <v>326</v>
      </c>
    </row>
    <row r="45" customFormat="false" ht="15" hidden="false" customHeight="false" outlineLevel="0" collapsed="false">
      <c r="D45" s="59" t="s">
        <v>476</v>
      </c>
    </row>
    <row r="46" customFormat="false" ht="15" hidden="false" customHeight="false" outlineLevel="0" collapsed="false">
      <c r="D46" s="59" t="s">
        <v>412</v>
      </c>
    </row>
    <row r="47" customFormat="false" ht="15" hidden="false" customHeight="false" outlineLevel="0" collapsed="false">
      <c r="D47" s="59" t="s">
        <v>430</v>
      </c>
    </row>
    <row r="48" customFormat="false" ht="15" hidden="false" customHeight="false" outlineLevel="0" collapsed="false">
      <c r="D48" s="59" t="s">
        <v>422</v>
      </c>
    </row>
    <row r="49" customFormat="false" ht="15" hidden="false" customHeight="false" outlineLevel="0" collapsed="false">
      <c r="D49" s="59" t="s">
        <v>211</v>
      </c>
    </row>
  </sheetData>
  <mergeCells count="1">
    <mergeCell ref="A1:M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4"/>
    <col collapsed="false" customWidth="true" hidden="false" outlineLevel="0" max="4" min="4" style="0" width="62"/>
    <col collapsed="false" customWidth="true" hidden="false" outlineLevel="0" max="5" min="5" style="0" width="58"/>
  </cols>
  <sheetData>
    <row r="1" customFormat="false" ht="15" hidden="false" customHeight="false" outlineLevel="0" collapsed="false">
      <c r="A1" s="60" t="s">
        <v>477</v>
      </c>
      <c r="B1" s="60"/>
      <c r="C1" s="60"/>
      <c r="D1" s="60"/>
      <c r="E1" s="60"/>
    </row>
    <row r="2" customFormat="false" ht="30" hidden="false" customHeight="true" outlineLevel="0" collapsed="false">
      <c r="A2" s="58" t="s">
        <v>112</v>
      </c>
      <c r="B2" s="58" t="s">
        <v>478</v>
      </c>
      <c r="C2" s="58" t="s">
        <v>479</v>
      </c>
      <c r="D2" s="58" t="s">
        <v>480</v>
      </c>
      <c r="E2" s="58" t="s">
        <v>481</v>
      </c>
    </row>
    <row r="3" customFormat="false" ht="61.5" hidden="false" customHeight="true" outlineLevel="0" collapsed="false">
      <c r="A3" s="61" t="s">
        <v>183</v>
      </c>
      <c r="B3" s="61" t="s">
        <v>482</v>
      </c>
      <c r="C3" s="62" t="n">
        <v>0.04</v>
      </c>
      <c r="D3" s="61" t="s">
        <v>483</v>
      </c>
      <c r="E3" s="61" t="s">
        <v>484</v>
      </c>
    </row>
    <row r="4" customFormat="false" ht="61.5" hidden="false" customHeight="true" outlineLevel="0" collapsed="false">
      <c r="A4" s="61" t="s">
        <v>203</v>
      </c>
      <c r="B4" s="61" t="s">
        <v>485</v>
      </c>
      <c r="C4" s="62" t="n">
        <v>0.1</v>
      </c>
      <c r="D4" s="61" t="s">
        <v>486</v>
      </c>
      <c r="E4" s="61" t="s">
        <v>487</v>
      </c>
    </row>
    <row r="5" customFormat="false" ht="61.5" hidden="false" customHeight="true" outlineLevel="0" collapsed="false">
      <c r="A5" s="61" t="s">
        <v>286</v>
      </c>
      <c r="B5" s="61" t="s">
        <v>281</v>
      </c>
      <c r="C5" s="62" t="n">
        <v>0.21</v>
      </c>
      <c r="D5" s="61" t="s">
        <v>488</v>
      </c>
      <c r="E5" s="61" t="s">
        <v>489</v>
      </c>
    </row>
    <row r="6" customFormat="false" ht="61.5" hidden="false" customHeight="true" outlineLevel="0" collapsed="false">
      <c r="A6" s="61" t="s">
        <v>490</v>
      </c>
      <c r="B6" s="61" t="s">
        <v>491</v>
      </c>
      <c r="C6" s="62" t="n">
        <v>0</v>
      </c>
      <c r="D6" s="61" t="s">
        <v>492</v>
      </c>
      <c r="E6" s="61" t="s">
        <v>493</v>
      </c>
    </row>
    <row r="8" customFormat="false" ht="60" hidden="false" customHeight="true" outlineLevel="0" collapsed="false">
      <c r="A8" s="63" t="s">
        <v>494</v>
      </c>
      <c r="B8" s="63"/>
      <c r="C8" s="63"/>
      <c r="D8" s="63"/>
      <c r="E8" s="63"/>
    </row>
  </sheetData>
  <mergeCells count="2">
    <mergeCell ref="A1:E1"/>
    <mergeCell ref="A8:E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4"/>
    <col collapsed="false" customWidth="true" hidden="false" outlineLevel="0" max="3" min="3" style="0" width="12"/>
    <col collapsed="false" customWidth="true" hidden="false" outlineLevel="0" max="4" min="4" style="0" width="74"/>
  </cols>
  <sheetData>
    <row r="1" customFormat="false" ht="15" hidden="false" customHeight="false" outlineLevel="0" collapsed="false">
      <c r="A1" s="64" t="s">
        <v>495</v>
      </c>
      <c r="B1" s="64"/>
      <c r="C1" s="64"/>
      <c r="D1" s="64"/>
    </row>
    <row r="2" customFormat="false" ht="42" hidden="false" customHeight="true" outlineLevel="0" collapsed="false">
      <c r="A2" s="65" t="s">
        <v>496</v>
      </c>
      <c r="B2" s="65"/>
      <c r="C2" s="65"/>
      <c r="D2" s="65"/>
    </row>
    <row r="3" customFormat="false" ht="15" hidden="false" customHeight="false" outlineLevel="0" collapsed="false">
      <c r="A3" s="58" t="s">
        <v>497</v>
      </c>
      <c r="B3" s="58" t="s">
        <v>498</v>
      </c>
      <c r="C3" s="58" t="s">
        <v>499</v>
      </c>
      <c r="D3" s="58" t="s">
        <v>500</v>
      </c>
    </row>
    <row r="4" customFormat="false" ht="31.5" hidden="false" customHeight="true" outlineLevel="0" collapsed="false">
      <c r="A4" s="66" t="s">
        <v>501</v>
      </c>
      <c r="B4" s="66" t="s">
        <v>502</v>
      </c>
      <c r="C4" s="67" t="n">
        <v>0.02</v>
      </c>
      <c r="D4" s="66" t="s">
        <v>503</v>
      </c>
    </row>
    <row r="5" customFormat="false" ht="31.5" hidden="false" customHeight="true" outlineLevel="0" collapsed="false">
      <c r="A5" s="66" t="s">
        <v>504</v>
      </c>
      <c r="B5" s="66" t="s">
        <v>505</v>
      </c>
      <c r="C5" s="67" t="n">
        <v>0.05</v>
      </c>
      <c r="D5" s="66" t="s">
        <v>506</v>
      </c>
    </row>
    <row r="6" customFormat="false" ht="31.5" hidden="false" customHeight="true" outlineLevel="0" collapsed="false">
      <c r="A6" s="66" t="s">
        <v>507</v>
      </c>
      <c r="B6" s="66" t="s">
        <v>508</v>
      </c>
      <c r="C6" s="67" t="n">
        <v>0.15</v>
      </c>
      <c r="D6" s="66" t="s">
        <v>509</v>
      </c>
    </row>
    <row r="7" customFormat="false" ht="31.5" hidden="false" customHeight="true" outlineLevel="0" collapsed="false">
      <c r="A7" s="66" t="s">
        <v>510</v>
      </c>
      <c r="B7" s="66" t="s">
        <v>511</v>
      </c>
      <c r="C7" s="67" t="n">
        <v>0.05</v>
      </c>
      <c r="D7" s="66" t="s">
        <v>512</v>
      </c>
    </row>
    <row r="9" customFormat="false" ht="15" hidden="false" customHeight="false" outlineLevel="0" collapsed="false">
      <c r="A9" s="57" t="s">
        <v>513</v>
      </c>
      <c r="B9" s="57"/>
      <c r="C9" s="57"/>
      <c r="D9" s="57"/>
    </row>
    <row r="10" customFormat="false" ht="15" hidden="false" customHeight="false" outlineLevel="0" collapsed="false">
      <c r="A10" s="6" t="s">
        <v>163</v>
      </c>
      <c r="B10" s="6" t="s">
        <v>500</v>
      </c>
      <c r="C10" s="6"/>
      <c r="D10" s="6"/>
    </row>
    <row r="11" customFormat="false" ht="25.5" hidden="false" customHeight="true" outlineLevel="0" collapsed="false">
      <c r="A11" s="68" t="s">
        <v>514</v>
      </c>
      <c r="B11" s="69" t="s">
        <v>515</v>
      </c>
      <c r="C11" s="69"/>
      <c r="D11" s="69"/>
    </row>
    <row r="12" customFormat="false" ht="25.5" hidden="false" customHeight="true" outlineLevel="0" collapsed="false">
      <c r="A12" s="68" t="s">
        <v>516</v>
      </c>
      <c r="B12" s="69" t="s">
        <v>517</v>
      </c>
      <c r="C12" s="69"/>
      <c r="D12" s="69"/>
    </row>
    <row r="13" customFormat="false" ht="25.5" hidden="false" customHeight="true" outlineLevel="0" collapsed="false">
      <c r="A13" s="70" t="s">
        <v>518</v>
      </c>
      <c r="B13" s="69" t="s">
        <v>519</v>
      </c>
      <c r="C13" s="69"/>
      <c r="D13" s="69"/>
    </row>
    <row r="14" customFormat="false" ht="25.5" hidden="false" customHeight="true" outlineLevel="0" collapsed="false">
      <c r="A14" s="71" t="s">
        <v>520</v>
      </c>
      <c r="B14" s="69" t="s">
        <v>521</v>
      </c>
      <c r="C14" s="69"/>
      <c r="D14" s="69"/>
    </row>
    <row r="15" customFormat="false" ht="25.5" hidden="false" customHeight="true" outlineLevel="0" collapsed="false">
      <c r="A15" s="72" t="s">
        <v>522</v>
      </c>
      <c r="B15" s="69" t="s">
        <v>523</v>
      </c>
      <c r="C15" s="69"/>
      <c r="D15" s="69"/>
    </row>
    <row r="16" customFormat="false" ht="25.5" hidden="false" customHeight="true" outlineLevel="0" collapsed="false">
      <c r="A16" s="73" t="s">
        <v>524</v>
      </c>
      <c r="B16" s="69" t="s">
        <v>525</v>
      </c>
      <c r="C16" s="69"/>
      <c r="D16" s="69"/>
    </row>
    <row r="17" customFormat="false" ht="25.5" hidden="false" customHeight="true" outlineLevel="0" collapsed="false">
      <c r="A17" s="74" t="s">
        <v>526</v>
      </c>
      <c r="B17" s="69" t="s">
        <v>527</v>
      </c>
      <c r="C17" s="69"/>
      <c r="D17" s="69"/>
    </row>
    <row r="18" customFormat="false" ht="25.5" hidden="false" customHeight="true" outlineLevel="0" collapsed="false">
      <c r="A18" s="75" t="s">
        <v>528</v>
      </c>
      <c r="B18" s="69" t="s">
        <v>529</v>
      </c>
      <c r="C18" s="69"/>
      <c r="D18" s="69"/>
    </row>
    <row r="20" customFormat="false" ht="45.75" hidden="false" customHeight="true" outlineLevel="0" collapsed="false">
      <c r="A20" s="76" t="s">
        <v>530</v>
      </c>
      <c r="B20" s="76"/>
      <c r="C20" s="76"/>
      <c r="D20" s="76"/>
    </row>
    <row r="22" customFormat="false" ht="43.5" hidden="false" customHeight="true" outlineLevel="0" collapsed="false">
      <c r="A22" s="77" t="s">
        <v>531</v>
      </c>
      <c r="B22" s="77"/>
      <c r="C22" s="77"/>
      <c r="D22" s="77"/>
    </row>
  </sheetData>
  <mergeCells count="14">
    <mergeCell ref="A1:D1"/>
    <mergeCell ref="A2:D2"/>
    <mergeCell ref="A9:D9"/>
    <mergeCell ref="B10:D10"/>
    <mergeCell ref="B11:D11"/>
    <mergeCell ref="B12:D12"/>
    <mergeCell ref="B13:D13"/>
    <mergeCell ref="B14:D14"/>
    <mergeCell ref="B15:D15"/>
    <mergeCell ref="B16:D16"/>
    <mergeCell ref="B17:D17"/>
    <mergeCell ref="B18:D18"/>
    <mergeCell ref="A20:D20"/>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14"/>
    <col collapsed="false" customWidth="true" hidden="false" outlineLevel="0" max="4" min="4" style="0" width="22"/>
    <col collapsed="false" customWidth="true" hidden="false" outlineLevel="0" max="5" min="5" style="0" width="16"/>
    <col collapsed="false" customWidth="true" hidden="false" outlineLevel="0" max="6" min="6" style="0" width="28"/>
    <col collapsed="false" customWidth="true" hidden="false" outlineLevel="0" max="7" min="7" style="0" width="16"/>
    <col collapsed="false" customWidth="true" hidden="false" outlineLevel="0" max="8" min="8" style="0" width="30"/>
  </cols>
  <sheetData>
    <row r="1" customFormat="false" ht="15" hidden="false" customHeight="false" outlineLevel="0" collapsed="false">
      <c r="A1" s="78" t="s">
        <v>532</v>
      </c>
      <c r="B1" s="78"/>
      <c r="C1" s="78"/>
      <c r="D1" s="78"/>
      <c r="E1" s="78"/>
      <c r="F1" s="78"/>
      <c r="G1" s="78"/>
      <c r="H1" s="78"/>
    </row>
    <row r="2" customFormat="false" ht="27.75" hidden="false" customHeight="true" outlineLevel="0" collapsed="false">
      <c r="A2" s="58" t="s">
        <v>95</v>
      </c>
      <c r="B2" s="58" t="s">
        <v>533</v>
      </c>
      <c r="C2" s="58" t="s">
        <v>534</v>
      </c>
      <c r="D2" s="58" t="s">
        <v>535</v>
      </c>
      <c r="E2" s="58" t="s">
        <v>536</v>
      </c>
      <c r="F2" s="58" t="s">
        <v>537</v>
      </c>
      <c r="G2" s="58" t="s">
        <v>538</v>
      </c>
      <c r="H2" s="58" t="s">
        <v>168</v>
      </c>
    </row>
    <row r="3" customFormat="false" ht="15" hidden="false" customHeight="false" outlineLevel="0" collapsed="false">
      <c r="A3" s="79" t="s">
        <v>181</v>
      </c>
      <c r="B3" s="79" t="s">
        <v>539</v>
      </c>
      <c r="C3" s="79" t="s">
        <v>540</v>
      </c>
      <c r="D3" s="79"/>
      <c r="E3" s="79"/>
      <c r="F3" s="79"/>
      <c r="G3" s="79" t="s">
        <v>541</v>
      </c>
      <c r="H3" s="79" t="s">
        <v>542</v>
      </c>
    </row>
    <row r="4" customFormat="false" ht="15" hidden="false" customHeight="false" outlineLevel="0" collapsed="false">
      <c r="A4" s="79" t="s">
        <v>219</v>
      </c>
      <c r="B4" s="79" t="s">
        <v>543</v>
      </c>
      <c r="C4" s="79" t="s">
        <v>544</v>
      </c>
      <c r="D4" s="79"/>
      <c r="E4" s="79"/>
      <c r="F4" s="79"/>
      <c r="G4" s="79" t="s">
        <v>545</v>
      </c>
      <c r="H4" s="79" t="s">
        <v>542</v>
      </c>
    </row>
    <row r="5" customFormat="false" ht="15" hidden="false" customHeight="false" outlineLevel="0" collapsed="false">
      <c r="A5" s="79" t="s">
        <v>284</v>
      </c>
      <c r="B5" s="79" t="s">
        <v>546</v>
      </c>
      <c r="C5" s="79" t="s">
        <v>547</v>
      </c>
      <c r="D5" s="79"/>
      <c r="E5" s="79"/>
      <c r="F5" s="79"/>
      <c r="G5" s="79" t="s">
        <v>548</v>
      </c>
      <c r="H5" s="79" t="s">
        <v>542</v>
      </c>
    </row>
    <row r="6" customFormat="false" ht="15" hidden="false" customHeight="false" outlineLevel="0" collapsed="false">
      <c r="A6" s="59"/>
      <c r="B6" s="59"/>
      <c r="C6" s="59"/>
      <c r="D6" s="59"/>
      <c r="E6" s="59"/>
      <c r="F6" s="59"/>
      <c r="G6" s="59"/>
      <c r="H6" s="59"/>
    </row>
    <row r="7" customFormat="false" ht="15" hidden="false" customHeight="false" outlineLevel="0" collapsed="false">
      <c r="A7" s="59"/>
      <c r="B7" s="59"/>
      <c r="C7" s="59"/>
      <c r="D7" s="59"/>
      <c r="E7" s="59"/>
      <c r="F7" s="59"/>
      <c r="G7" s="59"/>
      <c r="H7" s="59"/>
    </row>
    <row r="8" customFormat="false" ht="15" hidden="false" customHeight="false" outlineLevel="0" collapsed="false">
      <c r="A8" s="59"/>
      <c r="B8" s="59"/>
      <c r="C8" s="59"/>
      <c r="D8" s="59"/>
      <c r="E8" s="59"/>
      <c r="F8" s="59"/>
      <c r="G8" s="59"/>
      <c r="H8" s="59"/>
    </row>
    <row r="9" customFormat="false" ht="15" hidden="false" customHeight="false" outlineLevel="0" collapsed="false">
      <c r="A9" s="59"/>
      <c r="B9" s="59"/>
      <c r="C9" s="59"/>
      <c r="D9" s="59"/>
      <c r="E9" s="59"/>
      <c r="F9" s="59"/>
      <c r="G9" s="59"/>
      <c r="H9" s="59"/>
    </row>
    <row r="10" customFormat="false" ht="15" hidden="false" customHeight="false" outlineLevel="0" collapsed="false">
      <c r="A10" s="59"/>
      <c r="B10" s="59"/>
      <c r="C10" s="59"/>
      <c r="D10" s="59"/>
      <c r="E10" s="59"/>
      <c r="F10" s="59"/>
      <c r="G10" s="59"/>
      <c r="H10" s="59"/>
    </row>
    <row r="11" customFormat="false" ht="15" hidden="false" customHeight="false" outlineLevel="0" collapsed="false">
      <c r="A11" s="59"/>
      <c r="B11" s="59"/>
      <c r="C11" s="59"/>
      <c r="D11" s="59"/>
      <c r="E11" s="59"/>
      <c r="F11" s="59"/>
      <c r="G11" s="59"/>
      <c r="H11" s="59"/>
    </row>
    <row r="12" customFormat="false" ht="15" hidden="false" customHeight="false" outlineLevel="0" collapsed="false">
      <c r="A12" s="59"/>
      <c r="B12" s="59"/>
      <c r="C12" s="59"/>
      <c r="D12" s="59"/>
      <c r="E12" s="59"/>
      <c r="F12" s="59"/>
      <c r="G12" s="59"/>
      <c r="H12" s="59"/>
    </row>
    <row r="13" customFormat="false" ht="15" hidden="false" customHeight="false" outlineLevel="0" collapsed="false">
      <c r="A13" s="59"/>
      <c r="B13" s="59"/>
      <c r="C13" s="59"/>
      <c r="D13" s="59"/>
      <c r="E13" s="59"/>
      <c r="F13" s="59"/>
      <c r="G13" s="59"/>
      <c r="H13" s="59"/>
    </row>
    <row r="14" customFormat="false" ht="15" hidden="false" customHeight="false" outlineLevel="0" collapsed="false">
      <c r="A14" s="59"/>
      <c r="B14" s="59"/>
      <c r="C14" s="59"/>
      <c r="D14" s="59"/>
      <c r="E14" s="59"/>
      <c r="F14" s="59"/>
      <c r="G14" s="59"/>
      <c r="H14" s="59"/>
    </row>
    <row r="15" customFormat="false" ht="15" hidden="false" customHeight="false" outlineLevel="0" collapsed="false">
      <c r="A15" s="59"/>
      <c r="B15" s="59"/>
      <c r="C15" s="59"/>
      <c r="D15" s="59"/>
      <c r="E15" s="59"/>
      <c r="F15" s="59"/>
      <c r="G15" s="59"/>
      <c r="H15" s="59"/>
    </row>
    <row r="16" customFormat="false" ht="15" hidden="false" customHeight="false" outlineLevel="0" collapsed="false">
      <c r="A16" s="59"/>
      <c r="B16" s="59"/>
      <c r="C16" s="59"/>
      <c r="D16" s="59"/>
      <c r="E16" s="59"/>
      <c r="F16" s="59"/>
      <c r="G16" s="59"/>
      <c r="H16" s="59"/>
    </row>
    <row r="17" customFormat="false" ht="15" hidden="false" customHeight="false" outlineLevel="0" collapsed="false">
      <c r="A17" s="59"/>
      <c r="B17" s="59"/>
      <c r="C17" s="59"/>
      <c r="D17" s="59"/>
      <c r="E17" s="59"/>
      <c r="F17" s="59"/>
      <c r="G17" s="59"/>
      <c r="H17" s="59"/>
    </row>
    <row r="18" customFormat="false" ht="15" hidden="false" customHeight="false" outlineLevel="0" collapsed="false">
      <c r="A18" s="59"/>
      <c r="B18" s="59"/>
      <c r="C18" s="59"/>
      <c r="D18" s="59"/>
      <c r="E18" s="59"/>
      <c r="F18" s="59"/>
      <c r="G18" s="59"/>
      <c r="H18" s="59"/>
    </row>
    <row r="19" customFormat="false" ht="15" hidden="false" customHeight="false" outlineLevel="0" collapsed="false">
      <c r="A19" s="59"/>
      <c r="B19" s="59"/>
      <c r="C19" s="59"/>
      <c r="D19" s="59"/>
      <c r="E19" s="59"/>
      <c r="F19" s="59"/>
      <c r="G19" s="59"/>
      <c r="H19" s="59"/>
    </row>
    <row r="20" customFormat="false" ht="15" hidden="false" customHeight="false" outlineLevel="0" collapsed="false">
      <c r="A20" s="59"/>
      <c r="B20" s="59"/>
      <c r="C20" s="59"/>
      <c r="D20" s="59"/>
      <c r="E20" s="59"/>
      <c r="F20" s="59"/>
      <c r="G20" s="59"/>
      <c r="H20" s="59"/>
    </row>
    <row r="21" customFormat="false" ht="15" hidden="false" customHeight="false" outlineLevel="0" collapsed="false">
      <c r="A21" s="59"/>
      <c r="B21" s="59"/>
      <c r="C21" s="59"/>
      <c r="D21" s="59"/>
      <c r="E21" s="59"/>
      <c r="F21" s="59"/>
      <c r="G21" s="59"/>
      <c r="H21" s="59"/>
    </row>
    <row r="22" customFormat="false" ht="15" hidden="false" customHeight="false" outlineLevel="0" collapsed="false">
      <c r="A22" s="59"/>
      <c r="B22" s="59"/>
      <c r="C22" s="59"/>
      <c r="D22" s="59"/>
      <c r="E22" s="59"/>
      <c r="F22" s="59"/>
      <c r="G22" s="59"/>
      <c r="H22" s="59"/>
    </row>
    <row r="23" customFormat="false" ht="15" hidden="false" customHeight="false" outlineLevel="0" collapsed="false">
      <c r="A23" s="59"/>
      <c r="B23" s="59"/>
      <c r="C23" s="59"/>
      <c r="D23" s="59"/>
      <c r="E23" s="59"/>
      <c r="F23" s="59"/>
      <c r="G23" s="59"/>
      <c r="H23" s="59"/>
    </row>
    <row r="24" customFormat="false" ht="15" hidden="false" customHeight="false" outlineLevel="0" collapsed="false">
      <c r="A24" s="59"/>
      <c r="B24" s="59"/>
      <c r="C24" s="59"/>
      <c r="D24" s="59"/>
      <c r="E24" s="59"/>
      <c r="F24" s="59"/>
      <c r="G24" s="59"/>
      <c r="H24" s="59"/>
    </row>
    <row r="25" customFormat="false" ht="15" hidden="false" customHeight="false" outlineLevel="0" collapsed="false">
      <c r="A25" s="59"/>
      <c r="B25" s="59"/>
      <c r="C25" s="59"/>
      <c r="D25" s="59"/>
      <c r="E25" s="59"/>
      <c r="F25" s="59"/>
      <c r="G25" s="59"/>
      <c r="H25" s="59"/>
    </row>
    <row r="26" customFormat="false" ht="15" hidden="false" customHeight="false" outlineLevel="0" collapsed="false">
      <c r="A26" s="59"/>
      <c r="B26" s="59"/>
      <c r="C26" s="59"/>
      <c r="D26" s="59"/>
      <c r="E26" s="59"/>
      <c r="F26" s="59"/>
      <c r="G26" s="59"/>
      <c r="H26" s="59"/>
    </row>
    <row r="27" customFormat="false" ht="15" hidden="false" customHeight="false" outlineLevel="0" collapsed="false">
      <c r="A27" s="59"/>
      <c r="B27" s="59"/>
      <c r="C27" s="59"/>
      <c r="D27" s="59"/>
      <c r="E27" s="59"/>
      <c r="F27" s="59"/>
      <c r="G27" s="59"/>
      <c r="H27" s="59"/>
    </row>
    <row r="28" customFormat="false" ht="15" hidden="false" customHeight="false" outlineLevel="0" collapsed="false">
      <c r="A28" s="59"/>
      <c r="B28" s="59"/>
      <c r="C28" s="59"/>
      <c r="D28" s="59"/>
      <c r="E28" s="59"/>
      <c r="F28" s="59"/>
      <c r="G28" s="59"/>
      <c r="H28" s="59"/>
    </row>
    <row r="29" customFormat="false" ht="15" hidden="false" customHeight="false" outlineLevel="0" collapsed="false">
      <c r="A29" s="59"/>
      <c r="B29" s="59"/>
      <c r="C29" s="59"/>
      <c r="D29" s="59"/>
      <c r="E29" s="59"/>
      <c r="F29" s="59"/>
      <c r="G29" s="59"/>
      <c r="H29" s="59"/>
    </row>
    <row r="30" customFormat="false" ht="15" hidden="false" customHeight="false" outlineLevel="0" collapsed="false">
      <c r="A30" s="59"/>
      <c r="B30" s="59"/>
      <c r="C30" s="59"/>
      <c r="D30" s="59"/>
      <c r="E30" s="59"/>
      <c r="F30" s="59"/>
      <c r="G30" s="59"/>
      <c r="H30" s="59"/>
    </row>
    <row r="31" customFormat="false" ht="15" hidden="false" customHeight="false" outlineLevel="0" collapsed="false">
      <c r="A31" s="59"/>
      <c r="B31" s="59"/>
      <c r="C31" s="59"/>
      <c r="D31" s="59"/>
      <c r="E31" s="59"/>
      <c r="F31" s="59"/>
      <c r="G31" s="59"/>
      <c r="H31" s="59"/>
    </row>
    <row r="32" customFormat="false" ht="15" hidden="false" customHeight="false" outlineLevel="0" collapsed="false">
      <c r="A32" s="59"/>
      <c r="B32" s="59"/>
      <c r="C32" s="59"/>
      <c r="D32" s="59"/>
      <c r="E32" s="59"/>
      <c r="F32" s="59"/>
      <c r="G32" s="59"/>
      <c r="H32" s="59"/>
    </row>
    <row r="33" customFormat="false" ht="15" hidden="false" customHeight="false" outlineLevel="0" collapsed="false">
      <c r="A33" s="59"/>
      <c r="B33" s="59"/>
      <c r="C33" s="59"/>
      <c r="D33" s="59"/>
      <c r="E33" s="59"/>
      <c r="F33" s="59"/>
      <c r="G33" s="59"/>
      <c r="H33" s="59"/>
    </row>
    <row r="34" customFormat="false" ht="15" hidden="false" customHeight="false" outlineLevel="0" collapsed="false">
      <c r="A34" s="59"/>
      <c r="B34" s="59"/>
      <c r="C34" s="59"/>
      <c r="D34" s="59"/>
      <c r="E34" s="59"/>
      <c r="F34" s="59"/>
      <c r="G34" s="59"/>
      <c r="H34" s="59"/>
    </row>
    <row r="35" customFormat="false" ht="15" hidden="false" customHeight="false" outlineLevel="0" collapsed="false">
      <c r="A35" s="59"/>
      <c r="B35" s="59"/>
      <c r="C35" s="59"/>
      <c r="D35" s="59"/>
      <c r="E35" s="59"/>
      <c r="F35" s="59"/>
      <c r="G35" s="59"/>
      <c r="H35" s="59"/>
    </row>
    <row r="36" customFormat="false" ht="15" hidden="false" customHeight="false" outlineLevel="0" collapsed="false">
      <c r="A36" s="59"/>
      <c r="B36" s="59"/>
      <c r="C36" s="59"/>
      <c r="D36" s="59"/>
      <c r="E36" s="59"/>
      <c r="F36" s="59"/>
      <c r="G36" s="59"/>
      <c r="H36" s="59"/>
    </row>
    <row r="37" customFormat="false" ht="15" hidden="false" customHeight="false" outlineLevel="0" collapsed="false">
      <c r="A37" s="59"/>
      <c r="B37" s="59"/>
      <c r="C37" s="59"/>
      <c r="D37" s="59"/>
      <c r="E37" s="59"/>
      <c r="F37" s="59"/>
      <c r="G37" s="59"/>
      <c r="H37" s="59"/>
    </row>
    <row r="38" customFormat="false" ht="15" hidden="false" customHeight="false" outlineLevel="0" collapsed="false">
      <c r="A38" s="59"/>
      <c r="B38" s="59"/>
      <c r="C38" s="59"/>
      <c r="D38" s="59"/>
      <c r="E38" s="59"/>
      <c r="F38" s="59"/>
      <c r="G38" s="59"/>
      <c r="H38" s="59"/>
    </row>
    <row r="39" customFormat="false" ht="15" hidden="false" customHeight="false" outlineLevel="0" collapsed="false">
      <c r="A39" s="59"/>
      <c r="B39" s="59"/>
      <c r="C39" s="59"/>
      <c r="D39" s="59"/>
      <c r="E39" s="59"/>
      <c r="F39" s="59"/>
      <c r="G39" s="59"/>
      <c r="H39" s="59"/>
    </row>
    <row r="40" customFormat="false" ht="15" hidden="false" customHeight="false" outlineLevel="0" collapsed="false">
      <c r="A40" s="59"/>
      <c r="B40" s="59"/>
      <c r="C40" s="59"/>
      <c r="D40" s="59"/>
      <c r="E40" s="59"/>
      <c r="F40" s="59"/>
      <c r="G40" s="59"/>
      <c r="H40" s="59"/>
    </row>
    <row r="41" customFormat="false" ht="15" hidden="false" customHeight="false" outlineLevel="0" collapsed="false">
      <c r="A41" s="59"/>
      <c r="B41" s="59"/>
      <c r="C41" s="59"/>
      <c r="D41" s="59"/>
      <c r="E41" s="59"/>
      <c r="F41" s="59"/>
      <c r="G41" s="59"/>
      <c r="H41" s="59"/>
    </row>
    <row r="42" customFormat="false" ht="15" hidden="false" customHeight="false" outlineLevel="0" collapsed="false">
      <c r="A42" s="59"/>
      <c r="B42" s="59"/>
      <c r="C42" s="59"/>
      <c r="D42" s="59"/>
      <c r="E42" s="59"/>
      <c r="F42" s="59"/>
      <c r="G42" s="59"/>
      <c r="H42" s="59"/>
    </row>
    <row r="43" customFormat="false" ht="15" hidden="false" customHeight="false" outlineLevel="0" collapsed="false">
      <c r="A43" s="59"/>
      <c r="B43" s="59"/>
      <c r="C43" s="59"/>
      <c r="D43" s="59"/>
      <c r="E43" s="59"/>
      <c r="F43" s="59"/>
      <c r="G43" s="59"/>
      <c r="H43" s="59"/>
    </row>
    <row r="44" customFormat="false" ht="15" hidden="false" customHeight="false" outlineLevel="0" collapsed="false">
      <c r="A44" s="59"/>
      <c r="B44" s="59"/>
      <c r="C44" s="59"/>
      <c r="D44" s="59"/>
      <c r="E44" s="59"/>
      <c r="F44" s="59"/>
      <c r="G44" s="59"/>
      <c r="H44" s="59"/>
    </row>
    <row r="45" customFormat="false" ht="15" hidden="false" customHeight="false" outlineLevel="0" collapsed="false">
      <c r="A45" s="59"/>
      <c r="B45" s="59"/>
      <c r="C45" s="59"/>
      <c r="D45" s="59"/>
      <c r="E45" s="59"/>
      <c r="F45" s="59"/>
      <c r="G45" s="59"/>
      <c r="H45" s="59"/>
    </row>
    <row r="46" customFormat="false" ht="15" hidden="false" customHeight="false" outlineLevel="0" collapsed="false">
      <c r="A46" s="59"/>
      <c r="B46" s="59"/>
      <c r="C46" s="59"/>
      <c r="D46" s="59"/>
      <c r="E46" s="59"/>
      <c r="F46" s="59"/>
      <c r="G46" s="59"/>
      <c r="H46" s="59"/>
    </row>
    <row r="47" customFormat="false" ht="15" hidden="false" customHeight="false" outlineLevel="0" collapsed="false">
      <c r="A47" s="59"/>
      <c r="B47" s="59"/>
      <c r="C47" s="59"/>
      <c r="D47" s="59"/>
      <c r="E47" s="59"/>
      <c r="F47" s="59"/>
      <c r="G47" s="59"/>
      <c r="H47" s="59"/>
    </row>
    <row r="48" customFormat="false" ht="15" hidden="false" customHeight="false" outlineLevel="0" collapsed="false">
      <c r="A48" s="59"/>
      <c r="B48" s="59"/>
      <c r="C48" s="59"/>
      <c r="D48" s="59"/>
      <c r="E48" s="59"/>
      <c r="F48" s="59"/>
      <c r="G48" s="59"/>
      <c r="H48" s="59"/>
    </row>
    <row r="49" customFormat="false" ht="15" hidden="false" customHeight="false" outlineLevel="0" collapsed="false">
      <c r="A49" s="59"/>
      <c r="B49" s="59"/>
      <c r="C49" s="59"/>
      <c r="D49" s="59"/>
      <c r="E49" s="59"/>
      <c r="F49" s="59"/>
      <c r="G49" s="59"/>
      <c r="H49" s="59"/>
    </row>
    <row r="50" customFormat="false" ht="15" hidden="false" customHeight="false" outlineLevel="0" collapsed="false">
      <c r="A50" s="59"/>
      <c r="B50" s="59"/>
      <c r="C50" s="59"/>
      <c r="D50" s="59"/>
      <c r="E50" s="59"/>
      <c r="F50" s="59"/>
      <c r="G50" s="59"/>
      <c r="H50" s="59"/>
    </row>
    <row r="51" customFormat="false" ht="15" hidden="false" customHeight="false" outlineLevel="0" collapsed="false">
      <c r="A51" s="59"/>
      <c r="B51" s="59"/>
      <c r="C51" s="59"/>
      <c r="D51" s="59"/>
      <c r="E51" s="59"/>
      <c r="F51" s="59"/>
      <c r="G51" s="59"/>
      <c r="H51" s="59"/>
    </row>
    <row r="52" customFormat="false" ht="15" hidden="false" customHeight="false" outlineLevel="0" collapsed="false">
      <c r="A52" s="59"/>
      <c r="B52" s="59"/>
      <c r="C52" s="59"/>
      <c r="D52" s="59"/>
      <c r="E52" s="59"/>
      <c r="F52" s="59"/>
      <c r="G52" s="59"/>
      <c r="H52" s="59"/>
    </row>
    <row r="53" customFormat="false" ht="15" hidden="false" customHeight="false" outlineLevel="0" collapsed="false">
      <c r="A53" s="59"/>
      <c r="B53" s="59"/>
      <c r="C53" s="59"/>
      <c r="D53" s="59"/>
      <c r="E53" s="59"/>
      <c r="F53" s="59"/>
      <c r="G53" s="59"/>
      <c r="H53" s="59"/>
    </row>
    <row r="54" customFormat="false" ht="15" hidden="false" customHeight="false" outlineLevel="0" collapsed="false">
      <c r="A54" s="59"/>
      <c r="B54" s="59"/>
      <c r="C54" s="59"/>
      <c r="D54" s="59"/>
      <c r="E54" s="59"/>
      <c r="F54" s="59"/>
      <c r="G54" s="59"/>
      <c r="H54" s="59"/>
    </row>
    <row r="55" customFormat="false" ht="15" hidden="false" customHeight="false" outlineLevel="0" collapsed="false">
      <c r="A55" s="59"/>
      <c r="B55" s="59"/>
      <c r="C55" s="59"/>
      <c r="D55" s="59"/>
      <c r="E55" s="59"/>
      <c r="F55" s="59"/>
      <c r="G55" s="59"/>
      <c r="H55" s="59"/>
    </row>
    <row r="56" customFormat="false" ht="15" hidden="false" customHeight="false" outlineLevel="0" collapsed="false">
      <c r="A56" s="59"/>
      <c r="B56" s="59"/>
      <c r="C56" s="59"/>
      <c r="D56" s="59"/>
      <c r="E56" s="59"/>
      <c r="F56" s="59"/>
      <c r="G56" s="59"/>
      <c r="H56" s="59"/>
    </row>
    <row r="57" customFormat="false" ht="15" hidden="false" customHeight="false" outlineLevel="0" collapsed="false">
      <c r="A57" s="59"/>
      <c r="B57" s="59"/>
      <c r="C57" s="59"/>
      <c r="D57" s="59"/>
      <c r="E57" s="59"/>
      <c r="F57" s="59"/>
      <c r="G57" s="59"/>
      <c r="H57" s="59"/>
    </row>
    <row r="58" customFormat="false" ht="15" hidden="false" customHeight="false" outlineLevel="0" collapsed="false">
      <c r="A58" s="59"/>
      <c r="B58" s="59"/>
      <c r="C58" s="59"/>
      <c r="D58" s="59"/>
      <c r="E58" s="59"/>
      <c r="F58" s="59"/>
      <c r="G58" s="59"/>
      <c r="H58" s="59"/>
    </row>
    <row r="59" customFormat="false" ht="15" hidden="false" customHeight="false" outlineLevel="0" collapsed="false">
      <c r="A59" s="59"/>
      <c r="B59" s="59"/>
      <c r="C59" s="59"/>
      <c r="D59" s="59"/>
      <c r="E59" s="59"/>
      <c r="F59" s="59"/>
      <c r="G59" s="59"/>
      <c r="H59" s="59"/>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78"/>
  </cols>
  <sheetData>
    <row r="1" customFormat="false" ht="21.75" hidden="false" customHeight="true" outlineLevel="0" collapsed="false">
      <c r="A1" s="80" t="s">
        <v>549</v>
      </c>
      <c r="B1" s="80"/>
      <c r="C1" s="80"/>
    </row>
    <row r="3" customFormat="false" ht="21.75" hidden="false" customHeight="true" outlineLevel="0" collapsed="false">
      <c r="A3" s="81" t="s">
        <v>550</v>
      </c>
      <c r="B3" s="81"/>
      <c r="C3" s="81"/>
    </row>
    <row r="4" customFormat="false" ht="25.5" hidden="false" customHeight="true" outlineLevel="0" collapsed="false">
      <c r="A4" s="65" t="s">
        <v>551</v>
      </c>
      <c r="B4" s="65"/>
      <c r="C4" s="65"/>
    </row>
    <row r="6" customFormat="false" ht="21.75" hidden="false" customHeight="true" outlineLevel="0" collapsed="false">
      <c r="A6" s="82" t="s">
        <v>552</v>
      </c>
      <c r="B6" s="82"/>
      <c r="C6" s="82"/>
    </row>
    <row r="7" customFormat="false" ht="19.5" hidden="false" customHeight="true" outlineLevel="0" collapsed="false">
      <c r="A7" s="58" t="s">
        <v>553</v>
      </c>
      <c r="B7" s="58" t="s">
        <v>554</v>
      </c>
      <c r="C7" s="58" t="s">
        <v>555</v>
      </c>
    </row>
    <row r="8" customFormat="false" ht="39" hidden="false" customHeight="true" outlineLevel="0" collapsed="false">
      <c r="A8" s="83" t="s">
        <v>2</v>
      </c>
      <c r="B8" s="84" t="s">
        <v>556</v>
      </c>
      <c r="C8" s="84" t="s">
        <v>557</v>
      </c>
    </row>
    <row r="9" customFormat="false" ht="25.5" hidden="false" customHeight="true" outlineLevel="0" collapsed="false">
      <c r="A9" s="83" t="s">
        <v>4</v>
      </c>
      <c r="B9" s="84" t="s">
        <v>558</v>
      </c>
      <c r="C9" s="84" t="s">
        <v>559</v>
      </c>
    </row>
    <row r="10" customFormat="false" ht="25.5" hidden="false" customHeight="true" outlineLevel="0" collapsed="false">
      <c r="A10" s="83" t="s">
        <v>6</v>
      </c>
      <c r="B10" s="84" t="s">
        <v>560</v>
      </c>
      <c r="C10" s="84" t="s">
        <v>561</v>
      </c>
    </row>
    <row r="11" customFormat="false" ht="39" hidden="false" customHeight="true" outlineLevel="0" collapsed="false">
      <c r="A11" s="83" t="s">
        <v>8</v>
      </c>
      <c r="B11" s="84" t="s">
        <v>562</v>
      </c>
      <c r="C11" s="84" t="s">
        <v>563</v>
      </c>
    </row>
    <row r="12" customFormat="false" ht="39" hidden="false" customHeight="true" outlineLevel="0" collapsed="false">
      <c r="A12" s="83" t="s">
        <v>10</v>
      </c>
      <c r="B12" s="84" t="s">
        <v>564</v>
      </c>
      <c r="C12" s="84" t="s">
        <v>565</v>
      </c>
    </row>
    <row r="13" customFormat="false" ht="39" hidden="false" customHeight="true" outlineLevel="0" collapsed="false">
      <c r="A13" s="83" t="s">
        <v>23</v>
      </c>
      <c r="B13" s="84" t="s">
        <v>566</v>
      </c>
      <c r="C13" s="84" t="s">
        <v>567</v>
      </c>
    </row>
    <row r="14" customFormat="false" ht="39" hidden="false" customHeight="true" outlineLevel="0" collapsed="false">
      <c r="A14" s="83" t="s">
        <v>12</v>
      </c>
      <c r="B14" s="84" t="s">
        <v>568</v>
      </c>
      <c r="C14" s="84" t="s">
        <v>569</v>
      </c>
    </row>
    <row r="16" customFormat="false" ht="21.75" hidden="false" customHeight="true" outlineLevel="0" collapsed="false">
      <c r="A16" s="2" t="s">
        <v>570</v>
      </c>
      <c r="B16" s="2"/>
      <c r="C16" s="2"/>
    </row>
    <row r="17" customFormat="false" ht="19.5" hidden="false" customHeight="true" outlineLevel="0" collapsed="false">
      <c r="A17" s="58" t="s">
        <v>571</v>
      </c>
      <c r="B17" s="58" t="s">
        <v>478</v>
      </c>
      <c r="C17" s="58" t="s">
        <v>572</v>
      </c>
    </row>
    <row r="18" customFormat="false" ht="12.75" hidden="false" customHeight="true" outlineLevel="0" collapsed="false">
      <c r="A18" s="83" t="s">
        <v>173</v>
      </c>
      <c r="B18" s="84" t="s">
        <v>573</v>
      </c>
      <c r="C18" s="84" t="s">
        <v>574</v>
      </c>
    </row>
    <row r="19" customFormat="false" ht="25.5" hidden="false" customHeight="true" outlineLevel="0" collapsed="false">
      <c r="A19" s="83" t="s">
        <v>278</v>
      </c>
      <c r="B19" s="84" t="s">
        <v>575</v>
      </c>
      <c r="C19" s="84" t="s">
        <v>576</v>
      </c>
    </row>
    <row r="20" customFormat="false" ht="25.5" hidden="false" customHeight="true" outlineLevel="0" collapsed="false">
      <c r="A20" s="83" t="s">
        <v>304</v>
      </c>
      <c r="B20" s="84" t="s">
        <v>577</v>
      </c>
      <c r="C20" s="84" t="s">
        <v>578</v>
      </c>
    </row>
    <row r="21" customFormat="false" ht="12.75" hidden="false" customHeight="true" outlineLevel="0" collapsed="false">
      <c r="A21" s="83" t="s">
        <v>333</v>
      </c>
      <c r="B21" s="84" t="s">
        <v>579</v>
      </c>
      <c r="C21" s="84" t="s">
        <v>580</v>
      </c>
    </row>
    <row r="22" customFormat="false" ht="12.75" hidden="false" customHeight="true" outlineLevel="0" collapsed="false">
      <c r="A22" s="83" t="s">
        <v>410</v>
      </c>
      <c r="B22" s="84" t="s">
        <v>581</v>
      </c>
      <c r="C22" s="84" t="s">
        <v>582</v>
      </c>
    </row>
    <row r="24" customFormat="false" ht="21.75" hidden="false" customHeight="true" outlineLevel="0" collapsed="false">
      <c r="A24" s="85" t="s">
        <v>583</v>
      </c>
      <c r="B24" s="85"/>
      <c r="C24" s="85"/>
    </row>
    <row r="25" customFormat="false" ht="19.5" hidden="false" customHeight="true" outlineLevel="0" collapsed="false">
      <c r="A25" s="58" t="s">
        <v>571</v>
      </c>
      <c r="B25" s="58" t="s">
        <v>65</v>
      </c>
      <c r="C25" s="58" t="s">
        <v>584</v>
      </c>
    </row>
    <row r="26" customFormat="false" ht="12.75" hidden="false" customHeight="true" outlineLevel="0" collapsed="false">
      <c r="A26" s="83" t="s">
        <v>585</v>
      </c>
      <c r="B26" s="84" t="s">
        <v>174</v>
      </c>
      <c r="C26" s="84"/>
    </row>
    <row r="27" customFormat="false" ht="12.75" hidden="false" customHeight="true" outlineLevel="0" collapsed="false">
      <c r="A27" s="83" t="s">
        <v>586</v>
      </c>
      <c r="B27" s="84" t="s">
        <v>198</v>
      </c>
      <c r="C27" s="84"/>
    </row>
    <row r="28" customFormat="false" ht="12.75" hidden="false" customHeight="true" outlineLevel="0" collapsed="false">
      <c r="A28" s="83" t="s">
        <v>587</v>
      </c>
      <c r="B28" s="84" t="s">
        <v>217</v>
      </c>
      <c r="C28" s="84"/>
    </row>
    <row r="29" customFormat="false" ht="12.75" hidden="false" customHeight="true" outlineLevel="0" collapsed="false">
      <c r="A29" s="83" t="s">
        <v>588</v>
      </c>
      <c r="B29" s="84" t="s">
        <v>225</v>
      </c>
      <c r="C29" s="84"/>
    </row>
    <row r="30" customFormat="false" ht="12.75" hidden="false" customHeight="true" outlineLevel="0" collapsed="false">
      <c r="A30" s="83" t="s">
        <v>589</v>
      </c>
      <c r="B30" s="84" t="s">
        <v>239</v>
      </c>
      <c r="C30" s="84"/>
    </row>
    <row r="31" customFormat="false" ht="12.75" hidden="false" customHeight="true" outlineLevel="0" collapsed="false">
      <c r="A31" s="83" t="s">
        <v>590</v>
      </c>
      <c r="B31" s="84" t="s">
        <v>269</v>
      </c>
      <c r="C31" s="84"/>
    </row>
    <row r="32" customFormat="false" ht="12.75" hidden="false" customHeight="true" outlineLevel="0" collapsed="false">
      <c r="A32" s="83" t="s">
        <v>591</v>
      </c>
      <c r="B32" s="84" t="s">
        <v>260</v>
      </c>
      <c r="C32" s="84"/>
    </row>
    <row r="33" customFormat="false" ht="12.75" hidden="false" customHeight="true" outlineLevel="0" collapsed="false">
      <c r="A33" s="83" t="s">
        <v>592</v>
      </c>
      <c r="B33" s="84" t="s">
        <v>454</v>
      </c>
      <c r="C33" s="84"/>
    </row>
    <row r="34" customFormat="false" ht="12.75" hidden="false" customHeight="true" outlineLevel="0" collapsed="false">
      <c r="A34" s="83" t="s">
        <v>593</v>
      </c>
      <c r="B34" s="84" t="s">
        <v>210</v>
      </c>
      <c r="C34" s="84"/>
    </row>
    <row r="35" customFormat="false" ht="12.75" hidden="false" customHeight="true" outlineLevel="0" collapsed="false">
      <c r="A35" s="83" t="s">
        <v>594</v>
      </c>
      <c r="B35" s="84" t="s">
        <v>279</v>
      </c>
      <c r="C35" s="84"/>
    </row>
    <row r="36" customFormat="false" ht="12.75" hidden="false" customHeight="true" outlineLevel="0" collapsed="false">
      <c r="A36" s="83" t="s">
        <v>595</v>
      </c>
      <c r="B36" s="84" t="s">
        <v>458</v>
      </c>
      <c r="C36" s="84"/>
    </row>
    <row r="37" customFormat="false" ht="12.75" hidden="false" customHeight="true" outlineLevel="0" collapsed="false">
      <c r="A37" s="83" t="s">
        <v>596</v>
      </c>
      <c r="B37" s="84" t="s">
        <v>334</v>
      </c>
      <c r="C37" s="84"/>
    </row>
    <row r="38" customFormat="false" ht="12.75" hidden="false" customHeight="true" outlineLevel="0" collapsed="false">
      <c r="A38" s="83" t="s">
        <v>597</v>
      </c>
      <c r="B38" s="84" t="s">
        <v>363</v>
      </c>
      <c r="C38" s="84"/>
    </row>
    <row r="39" customFormat="false" ht="12.75" hidden="false" customHeight="true" outlineLevel="0" collapsed="false">
      <c r="A39" s="83" t="s">
        <v>598</v>
      </c>
      <c r="B39" s="84" t="s">
        <v>383</v>
      </c>
      <c r="C39" s="84"/>
    </row>
    <row r="40" customFormat="false" ht="12.75" hidden="false" customHeight="true" outlineLevel="0" collapsed="false">
      <c r="A40" s="83" t="s">
        <v>599</v>
      </c>
      <c r="B40" s="84" t="s">
        <v>389</v>
      </c>
      <c r="C40" s="84"/>
    </row>
    <row r="41" customFormat="false" ht="25.5" hidden="false" customHeight="true" outlineLevel="0" collapsed="false">
      <c r="A41" s="83" t="s">
        <v>600</v>
      </c>
      <c r="B41" s="84" t="s">
        <v>403</v>
      </c>
      <c r="C41" s="84" t="s">
        <v>601</v>
      </c>
    </row>
    <row r="42" customFormat="false" ht="12.75" hidden="false" customHeight="true" outlineLevel="0" collapsed="false">
      <c r="A42" s="83" t="s">
        <v>602</v>
      </c>
      <c r="B42" s="84" t="s">
        <v>421</v>
      </c>
      <c r="C42" s="84"/>
    </row>
    <row r="43" customFormat="false" ht="12.75" hidden="false" customHeight="true" outlineLevel="0" collapsed="false">
      <c r="A43" s="83" t="s">
        <v>603</v>
      </c>
      <c r="B43" s="84" t="s">
        <v>411</v>
      </c>
      <c r="C43" s="84"/>
    </row>
    <row r="44" customFormat="false" ht="25.5" hidden="false" customHeight="true" outlineLevel="0" collapsed="false">
      <c r="A44" s="83" t="s">
        <v>604</v>
      </c>
      <c r="B44" s="84" t="s">
        <v>305</v>
      </c>
      <c r="C44" s="84" t="s">
        <v>605</v>
      </c>
    </row>
    <row r="46" customFormat="false" ht="21.75" hidden="false" customHeight="true" outlineLevel="0" collapsed="false">
      <c r="A46" s="86" t="s">
        <v>606</v>
      </c>
      <c r="B46" s="86"/>
      <c r="C46" s="86"/>
    </row>
    <row r="47" customFormat="false" ht="19.5" hidden="false" customHeight="true" outlineLevel="0" collapsed="false">
      <c r="A47" s="58" t="s">
        <v>553</v>
      </c>
      <c r="B47" s="58" t="s">
        <v>554</v>
      </c>
      <c r="C47" s="58" t="s">
        <v>607</v>
      </c>
    </row>
    <row r="48" customFormat="false" ht="25.5" hidden="false" customHeight="true" outlineLevel="0" collapsed="false">
      <c r="A48" s="83" t="s">
        <v>2</v>
      </c>
      <c r="B48" s="84" t="s">
        <v>608</v>
      </c>
      <c r="C48" s="84" t="s">
        <v>609</v>
      </c>
    </row>
    <row r="49" customFormat="false" ht="25.5" hidden="false" customHeight="true" outlineLevel="0" collapsed="false">
      <c r="A49" s="83" t="s">
        <v>4</v>
      </c>
      <c r="B49" s="84" t="s">
        <v>610</v>
      </c>
      <c r="C49" s="84" t="s">
        <v>611</v>
      </c>
    </row>
    <row r="50" customFormat="false" ht="39" hidden="false" customHeight="true" outlineLevel="0" collapsed="false">
      <c r="A50" s="83" t="s">
        <v>6</v>
      </c>
      <c r="B50" s="84" t="s">
        <v>612</v>
      </c>
      <c r="C50" s="84" t="s">
        <v>613</v>
      </c>
    </row>
    <row r="51" customFormat="false" ht="25.5" hidden="false" customHeight="true" outlineLevel="0" collapsed="false">
      <c r="A51" s="83" t="s">
        <v>8</v>
      </c>
      <c r="B51" s="84" t="s">
        <v>614</v>
      </c>
      <c r="C51" s="84" t="s">
        <v>615</v>
      </c>
    </row>
    <row r="53" customFormat="false" ht="21.75" hidden="false" customHeight="true" outlineLevel="0" collapsed="false">
      <c r="A53" s="87" t="s">
        <v>616</v>
      </c>
      <c r="B53" s="87"/>
      <c r="C53" s="87"/>
    </row>
    <row r="54" customFormat="false" ht="19.5" hidden="false" customHeight="true" outlineLevel="0" collapsed="false">
      <c r="A54" s="58" t="s">
        <v>553</v>
      </c>
      <c r="B54" s="58" t="s">
        <v>617</v>
      </c>
      <c r="C54" s="58" t="s">
        <v>618</v>
      </c>
    </row>
    <row r="55" customFormat="false" ht="25.5" hidden="false" customHeight="true" outlineLevel="0" collapsed="false">
      <c r="A55" s="83" t="s">
        <v>2</v>
      </c>
      <c r="B55" s="84" t="s">
        <v>619</v>
      </c>
      <c r="C55" s="84" t="s">
        <v>620</v>
      </c>
    </row>
    <row r="56" customFormat="false" ht="25.5" hidden="false" customHeight="true" outlineLevel="0" collapsed="false">
      <c r="A56" s="83" t="s">
        <v>4</v>
      </c>
      <c r="B56" s="84" t="s">
        <v>621</v>
      </c>
      <c r="C56" s="84" t="s">
        <v>622</v>
      </c>
    </row>
    <row r="57" customFormat="false" ht="25.5" hidden="false" customHeight="true" outlineLevel="0" collapsed="false">
      <c r="A57" s="83" t="s">
        <v>6</v>
      </c>
      <c r="B57" s="84" t="s">
        <v>623</v>
      </c>
      <c r="C57" s="84" t="s">
        <v>624</v>
      </c>
    </row>
    <row r="58" customFormat="false" ht="39" hidden="false" customHeight="true" outlineLevel="0" collapsed="false">
      <c r="A58" s="83" t="s">
        <v>8</v>
      </c>
      <c r="B58" s="84" t="s">
        <v>625</v>
      </c>
      <c r="C58" s="84" t="s">
        <v>626</v>
      </c>
    </row>
    <row r="59" customFormat="false" ht="39" hidden="false" customHeight="true" outlineLevel="0" collapsed="false">
      <c r="A59" s="83" t="s">
        <v>10</v>
      </c>
      <c r="B59" s="84" t="s">
        <v>627</v>
      </c>
      <c r="C59" s="84" t="s">
        <v>628</v>
      </c>
    </row>
    <row r="60" customFormat="false" ht="25.5" hidden="false" customHeight="true" outlineLevel="0" collapsed="false">
      <c r="A60" s="83" t="s">
        <v>23</v>
      </c>
      <c r="B60" s="84" t="s">
        <v>629</v>
      </c>
      <c r="C60" s="84" t="s">
        <v>630</v>
      </c>
    </row>
    <row r="61" customFormat="false" ht="25.5" hidden="false" customHeight="true" outlineLevel="0" collapsed="false">
      <c r="A61" s="83" t="s">
        <v>12</v>
      </c>
      <c r="B61" s="84" t="s">
        <v>631</v>
      </c>
      <c r="C61" s="84" t="s">
        <v>632</v>
      </c>
    </row>
    <row r="62" customFormat="false" ht="25.5" hidden="false" customHeight="true" outlineLevel="0" collapsed="false">
      <c r="A62" s="83" t="s">
        <v>14</v>
      </c>
      <c r="B62" s="84" t="s">
        <v>633</v>
      </c>
      <c r="C62" s="84" t="s">
        <v>634</v>
      </c>
    </row>
    <row r="63" customFormat="false" ht="25.5" hidden="false" customHeight="true" outlineLevel="0" collapsed="false">
      <c r="A63" s="83" t="s">
        <v>635</v>
      </c>
      <c r="B63" s="84" t="s">
        <v>636</v>
      </c>
      <c r="C63" s="84" t="s">
        <v>637</v>
      </c>
    </row>
    <row r="65" customFormat="false" ht="21.75" hidden="false" customHeight="true" outlineLevel="0" collapsed="false">
      <c r="A65" s="88" t="s">
        <v>638</v>
      </c>
      <c r="B65" s="88"/>
      <c r="C65" s="88"/>
    </row>
    <row r="66" customFormat="false" ht="19.5" hidden="false" customHeight="true" outlineLevel="0" collapsed="false">
      <c r="A66" s="58" t="s">
        <v>639</v>
      </c>
      <c r="B66" s="58" t="s">
        <v>640</v>
      </c>
      <c r="C66" s="58" t="s">
        <v>641</v>
      </c>
    </row>
    <row r="67" customFormat="false" ht="39" hidden="false" customHeight="true" outlineLevel="0" collapsed="false">
      <c r="A67" s="83" t="s">
        <v>642</v>
      </c>
      <c r="B67" s="84" t="s">
        <v>643</v>
      </c>
      <c r="C67" s="84" t="s">
        <v>644</v>
      </c>
    </row>
    <row r="68" customFormat="false" ht="25.5" hidden="false" customHeight="true" outlineLevel="0" collapsed="false">
      <c r="A68" s="83" t="s">
        <v>645</v>
      </c>
      <c r="B68" s="84" t="s">
        <v>646</v>
      </c>
      <c r="C68" s="84" t="s">
        <v>647</v>
      </c>
    </row>
    <row r="69" customFormat="false" ht="25.5" hidden="false" customHeight="true" outlineLevel="0" collapsed="false">
      <c r="A69" s="83" t="s">
        <v>648</v>
      </c>
      <c r="B69" s="84" t="s">
        <v>646</v>
      </c>
      <c r="C69" s="84" t="s">
        <v>649</v>
      </c>
    </row>
    <row r="70" customFormat="false" ht="25.5" hidden="false" customHeight="true" outlineLevel="0" collapsed="false">
      <c r="A70" s="83" t="s">
        <v>650</v>
      </c>
      <c r="B70" s="84" t="s">
        <v>646</v>
      </c>
      <c r="C70" s="84" t="s">
        <v>651</v>
      </c>
    </row>
    <row r="71" customFormat="false" ht="25.5" hidden="false" customHeight="true" outlineLevel="0" collapsed="false">
      <c r="A71" s="83" t="s">
        <v>652</v>
      </c>
      <c r="B71" s="84" t="s">
        <v>653</v>
      </c>
      <c r="C71" s="84" t="s">
        <v>654</v>
      </c>
    </row>
    <row r="72" customFormat="false" ht="25.5" hidden="false" customHeight="true" outlineLevel="0" collapsed="false">
      <c r="A72" s="83" t="s">
        <v>655</v>
      </c>
      <c r="B72" s="84" t="s">
        <v>646</v>
      </c>
      <c r="C72" s="84" t="s">
        <v>656</v>
      </c>
    </row>
    <row r="73" customFormat="false" ht="25.5" hidden="false" customHeight="true" outlineLevel="0" collapsed="false">
      <c r="A73" s="83" t="s">
        <v>657</v>
      </c>
      <c r="B73" s="84" t="s">
        <v>658</v>
      </c>
      <c r="C73" s="84" t="s">
        <v>659</v>
      </c>
    </row>
    <row r="74" customFormat="false" ht="25.5" hidden="false" customHeight="true" outlineLevel="0" collapsed="false">
      <c r="A74" s="83" t="s">
        <v>660</v>
      </c>
      <c r="B74" s="84" t="s">
        <v>646</v>
      </c>
      <c r="C74" s="84" t="s">
        <v>661</v>
      </c>
    </row>
    <row r="75" customFormat="false" ht="25.5" hidden="false" customHeight="true" outlineLevel="0" collapsed="false">
      <c r="A75" s="83" t="s">
        <v>662</v>
      </c>
      <c r="B75" s="84" t="s">
        <v>446</v>
      </c>
      <c r="C75" s="84" t="s">
        <v>663</v>
      </c>
    </row>
    <row r="77" customFormat="false" ht="21.75" hidden="false" customHeight="true" outlineLevel="0" collapsed="false">
      <c r="A77" s="89" t="s">
        <v>664</v>
      </c>
      <c r="B77" s="89"/>
      <c r="C77" s="89"/>
    </row>
    <row r="78" customFormat="false" ht="19.5" hidden="false" customHeight="true" outlineLevel="0" collapsed="false">
      <c r="A78" s="58" t="s">
        <v>553</v>
      </c>
      <c r="B78" s="58" t="s">
        <v>554</v>
      </c>
      <c r="C78" s="58" t="s">
        <v>665</v>
      </c>
    </row>
    <row r="79" customFormat="false" ht="25.5" hidden="false" customHeight="true" outlineLevel="0" collapsed="false">
      <c r="A79" s="83" t="s">
        <v>2</v>
      </c>
      <c r="B79" s="84" t="s">
        <v>666</v>
      </c>
      <c r="C79" s="84" t="s">
        <v>667</v>
      </c>
    </row>
    <row r="80" customFormat="false" ht="25.5" hidden="false" customHeight="true" outlineLevel="0" collapsed="false">
      <c r="A80" s="83" t="s">
        <v>4</v>
      </c>
      <c r="B80" s="84" t="s">
        <v>668</v>
      </c>
      <c r="C80" s="84" t="s">
        <v>669</v>
      </c>
    </row>
    <row r="81" customFormat="false" ht="25.5" hidden="false" customHeight="true" outlineLevel="0" collapsed="false">
      <c r="A81" s="83" t="s">
        <v>6</v>
      </c>
      <c r="B81" s="84" t="s">
        <v>670</v>
      </c>
      <c r="C81" s="84" t="s">
        <v>671</v>
      </c>
    </row>
    <row r="82" customFormat="false" ht="25.5" hidden="false" customHeight="true" outlineLevel="0" collapsed="false">
      <c r="A82" s="83" t="s">
        <v>8</v>
      </c>
      <c r="B82" s="84" t="s">
        <v>672</v>
      </c>
      <c r="C82" s="84" t="s">
        <v>673</v>
      </c>
    </row>
    <row r="83" customFormat="false" ht="25.5" hidden="false" customHeight="true" outlineLevel="0" collapsed="false">
      <c r="A83" s="83" t="s">
        <v>10</v>
      </c>
      <c r="B83" s="84" t="s">
        <v>674</v>
      </c>
      <c r="C83" s="84" t="s">
        <v>675</v>
      </c>
    </row>
    <row r="85" customFormat="false" ht="21.75" hidden="false" customHeight="true" outlineLevel="0" collapsed="false">
      <c r="A85" s="82" t="s">
        <v>676</v>
      </c>
      <c r="B85" s="82"/>
      <c r="C85" s="82"/>
    </row>
    <row r="86" customFormat="false" ht="19.5" hidden="false" customHeight="true" outlineLevel="0" collapsed="false">
      <c r="A86" s="58" t="s">
        <v>553</v>
      </c>
      <c r="B86" s="58" t="s">
        <v>677</v>
      </c>
      <c r="C86" s="58" t="s">
        <v>678</v>
      </c>
    </row>
    <row r="87" customFormat="false" ht="25.5" hidden="false" customHeight="true" outlineLevel="0" collapsed="false">
      <c r="A87" s="83" t="s">
        <v>2</v>
      </c>
      <c r="B87" s="84" t="s">
        <v>679</v>
      </c>
      <c r="C87" s="84" t="s">
        <v>680</v>
      </c>
    </row>
    <row r="88" customFormat="false" ht="25.5" hidden="false" customHeight="true" outlineLevel="0" collapsed="false">
      <c r="A88" s="83" t="s">
        <v>4</v>
      </c>
      <c r="B88" s="84" t="s">
        <v>681</v>
      </c>
      <c r="C88" s="84" t="s">
        <v>682</v>
      </c>
    </row>
    <row r="89" customFormat="false" ht="25.5" hidden="false" customHeight="true" outlineLevel="0" collapsed="false">
      <c r="A89" s="83" t="s">
        <v>6</v>
      </c>
      <c r="B89" s="84" t="s">
        <v>683</v>
      </c>
      <c r="C89" s="84" t="s">
        <v>684</v>
      </c>
    </row>
    <row r="90" customFormat="false" ht="25.5" hidden="false" customHeight="true" outlineLevel="0" collapsed="false">
      <c r="A90" s="83" t="s">
        <v>8</v>
      </c>
      <c r="B90" s="84" t="s">
        <v>685</v>
      </c>
      <c r="C90" s="84" t="s">
        <v>686</v>
      </c>
    </row>
    <row r="91" customFormat="false" ht="25.5" hidden="false" customHeight="true" outlineLevel="0" collapsed="false">
      <c r="A91" s="83" t="s">
        <v>10</v>
      </c>
      <c r="B91" s="84" t="s">
        <v>687</v>
      </c>
      <c r="C91" s="84" t="s">
        <v>688</v>
      </c>
    </row>
    <row r="92" customFormat="false" ht="25.5" hidden="false" customHeight="true" outlineLevel="0" collapsed="false">
      <c r="A92" s="83" t="s">
        <v>23</v>
      </c>
      <c r="B92" s="84" t="s">
        <v>689</v>
      </c>
      <c r="C92" s="84" t="s">
        <v>690</v>
      </c>
    </row>
    <row r="93" customFormat="false" ht="25.5" hidden="false" customHeight="true" outlineLevel="0" collapsed="false">
      <c r="A93" s="83" t="s">
        <v>12</v>
      </c>
      <c r="B93" s="84" t="s">
        <v>691</v>
      </c>
      <c r="C93" s="84" t="s">
        <v>692</v>
      </c>
    </row>
    <row r="95" customFormat="false" ht="42" hidden="false" customHeight="true" outlineLevel="0" collapsed="false">
      <c r="A95" s="77" t="s">
        <v>693</v>
      </c>
      <c r="B95" s="77"/>
      <c r="C95" s="77"/>
    </row>
  </sheetData>
  <mergeCells count="12">
    <mergeCell ref="A1:C1"/>
    <mergeCell ref="A3:C3"/>
    <mergeCell ref="A4:C4"/>
    <mergeCell ref="A6:C6"/>
    <mergeCell ref="A16:C16"/>
    <mergeCell ref="A24:C24"/>
    <mergeCell ref="A46:C46"/>
    <mergeCell ref="A53:C53"/>
    <mergeCell ref="A65:C65"/>
    <mergeCell ref="A77:C77"/>
    <mergeCell ref="A85:C85"/>
    <mergeCell ref="A95:C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2026-08-14T14:30:10Z</dcterms:created>
  <dc:creator>openpyxl</dc:creator>
  <dc:description/>
  <dc:language>en-US</dc:language>
  <cp:lastModifiedBy/>
  <dcterms:modified xsi:type="dcterms:W3CDTF">2026-08-14T14:30:13Z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